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bil\Downloads\"/>
    </mc:Choice>
  </mc:AlternateContent>
  <xr:revisionPtr revIDLastSave="0" documentId="13_ncr:1_{8E944AFF-971C-4141-A509-64E80DA8F8BA}" xr6:coauthVersionLast="47" xr6:coauthVersionMax="47" xr10:uidLastSave="{00000000-0000-0000-0000-000000000000}"/>
  <bookViews>
    <workbookView xWindow="-98" yWindow="-98" windowWidth="21795" windowHeight="12975" firstSheet="3" activeTab="5" xr2:uid="{00000000-000D-0000-FFFF-FFFF00000000}"/>
  </bookViews>
  <sheets>
    <sheet name="Invoice_Data" sheetId="1" r:id="rId1"/>
    <sheet name="Delivery_Order" sheetId="2" r:id="rId2"/>
    <sheet name="Verification" sheetId="3" r:id="rId3"/>
    <sheet name="Detail1" sheetId="6" r:id="rId4"/>
    <sheet name="Pivot Status" sheetId="4" r:id="rId5"/>
    <sheet name="Dashboard" sheetId="5" r:id="rId6"/>
  </sheets>
  <calcPr calcId="191029"/>
  <pivotCaches>
    <pivotCache cacheId="4" r:id="rId7"/>
    <pivotCache cacheId="23" r:id="rId8"/>
    <pivotCache cacheId="2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4" l="1"/>
  <c r="B13" i="4"/>
  <c r="B11" i="4"/>
  <c r="B9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D3" i="3"/>
  <c r="D4" i="3"/>
  <c r="D5" i="3"/>
  <c r="D6" i="3"/>
  <c r="D14" i="3"/>
  <c r="D15" i="3"/>
  <c r="D16" i="3"/>
  <c r="D17" i="3"/>
  <c r="D18" i="3"/>
  <c r="D19" i="3"/>
  <c r="D20" i="3"/>
  <c r="D21" i="3"/>
  <c r="D22" i="3"/>
  <c r="D23" i="3"/>
  <c r="D24" i="3"/>
  <c r="D32" i="3"/>
  <c r="D33" i="3"/>
  <c r="D34" i="3"/>
  <c r="D37" i="3"/>
  <c r="D38" i="3"/>
  <c r="D39" i="3"/>
  <c r="D40" i="3"/>
  <c r="D50" i="3"/>
  <c r="D51" i="3"/>
  <c r="D52" i="3"/>
  <c r="D53" i="3"/>
  <c r="D55" i="3"/>
  <c r="D56" i="3"/>
  <c r="D57" i="3"/>
  <c r="D58" i="3"/>
  <c r="D68" i="3"/>
  <c r="D69" i="3"/>
  <c r="D70" i="3"/>
  <c r="D71" i="3"/>
  <c r="D72" i="3"/>
  <c r="D73" i="3"/>
  <c r="D74" i="3"/>
  <c r="D75" i="3"/>
  <c r="D76" i="3"/>
  <c r="D78" i="3"/>
  <c r="D91" i="3"/>
  <c r="D92" i="3"/>
  <c r="D93" i="3"/>
  <c r="D94" i="3"/>
  <c r="D104" i="3"/>
  <c r="D106" i="3"/>
  <c r="D107" i="3"/>
  <c r="D108" i="3"/>
  <c r="D109" i="3"/>
  <c r="D110" i="3"/>
  <c r="D111" i="3"/>
  <c r="D112" i="3"/>
  <c r="D122" i="3"/>
  <c r="D123" i="3"/>
  <c r="D124" i="3"/>
  <c r="D125" i="3"/>
  <c r="D126" i="3"/>
  <c r="D127" i="3"/>
  <c r="D128" i="3"/>
  <c r="D129" i="3"/>
  <c r="D130" i="3"/>
  <c r="D131" i="3"/>
  <c r="D140" i="3"/>
  <c r="D141" i="3"/>
  <c r="D142" i="3"/>
  <c r="D143" i="3"/>
  <c r="D144" i="3"/>
  <c r="D145" i="3"/>
  <c r="D146" i="3"/>
  <c r="D147" i="3"/>
  <c r="D148" i="3"/>
  <c r="D149" i="3"/>
  <c r="D150" i="3"/>
  <c r="D158" i="3"/>
  <c r="D159" i="3"/>
  <c r="D163" i="3"/>
  <c r="D164" i="3"/>
  <c r="D165" i="3"/>
  <c r="D166" i="3"/>
  <c r="D176" i="3"/>
  <c r="D177" i="3"/>
  <c r="D178" i="3"/>
  <c r="D180" i="3"/>
  <c r="D181" i="3"/>
  <c r="D182" i="3"/>
  <c r="D183" i="3"/>
  <c r="D184" i="3"/>
  <c r="D194" i="3"/>
  <c r="D195" i="3"/>
  <c r="D196" i="3"/>
  <c r="D197" i="3"/>
  <c r="D198" i="3"/>
  <c r="D199" i="3"/>
  <c r="D200" i="3"/>
  <c r="D201" i="3"/>
  <c r="D202" i="3"/>
  <c r="D203" i="3"/>
  <c r="D204" i="3"/>
  <c r="D210" i="3"/>
  <c r="D212" i="3"/>
  <c r="D213" i="3"/>
  <c r="D214" i="3"/>
  <c r="D215" i="3"/>
  <c r="D216" i="3"/>
  <c r="D217" i="3"/>
  <c r="D218" i="3"/>
  <c r="D219" i="3"/>
  <c r="D220" i="3"/>
  <c r="D221" i="3"/>
  <c r="D222" i="3"/>
  <c r="D231" i="3"/>
  <c r="D232" i="3"/>
  <c r="D233" i="3"/>
  <c r="D235" i="3"/>
  <c r="D236" i="3"/>
  <c r="D237" i="3"/>
  <c r="D238" i="3"/>
  <c r="D248" i="3"/>
  <c r="D249" i="3"/>
  <c r="D250" i="3"/>
  <c r="D251" i="3"/>
  <c r="D252" i="3"/>
  <c r="D253" i="3"/>
  <c r="D254" i="3"/>
  <c r="D255" i="3"/>
  <c r="D256" i="3"/>
  <c r="D266" i="3"/>
  <c r="D267" i="3"/>
  <c r="D268" i="3"/>
  <c r="D269" i="3"/>
  <c r="D270" i="3"/>
  <c r="D271" i="3"/>
  <c r="D272" i="3"/>
  <c r="D273" i="3"/>
  <c r="D274" i="3"/>
  <c r="D275" i="3"/>
  <c r="D284" i="3"/>
  <c r="D289" i="3"/>
  <c r="D290" i="3"/>
  <c r="D291" i="3"/>
  <c r="D29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2" i="3"/>
  <c r="B3" i="3"/>
  <c r="B4" i="3"/>
  <c r="B5" i="3"/>
  <c r="B6" i="3"/>
  <c r="B7" i="3"/>
  <c r="D7" i="3" s="1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B14" i="3"/>
  <c r="B15" i="3"/>
  <c r="B16" i="3"/>
  <c r="B17" i="3"/>
  <c r="B18" i="3"/>
  <c r="B19" i="3"/>
  <c r="B20" i="3"/>
  <c r="B21" i="3"/>
  <c r="B22" i="3"/>
  <c r="B23" i="3"/>
  <c r="B24" i="3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B33" i="3"/>
  <c r="B34" i="3"/>
  <c r="B35" i="3"/>
  <c r="D35" i="3" s="1"/>
  <c r="B36" i="3"/>
  <c r="D36" i="3" s="1"/>
  <c r="B37" i="3"/>
  <c r="B38" i="3"/>
  <c r="B39" i="3"/>
  <c r="B40" i="3"/>
  <c r="B41" i="3"/>
  <c r="D41" i="3" s="1"/>
  <c r="B42" i="3"/>
  <c r="D42" i="3" s="1"/>
  <c r="B43" i="3"/>
  <c r="D43" i="3" s="1"/>
  <c r="B44" i="3"/>
  <c r="D44" i="3" s="1"/>
  <c r="B45" i="3"/>
  <c r="D45" i="3" s="1"/>
  <c r="B46" i="3"/>
  <c r="D46" i="3" s="1"/>
  <c r="B47" i="3"/>
  <c r="D47" i="3" s="1"/>
  <c r="B48" i="3"/>
  <c r="D48" i="3" s="1"/>
  <c r="B49" i="3"/>
  <c r="D49" i="3" s="1"/>
  <c r="B50" i="3"/>
  <c r="B51" i="3"/>
  <c r="B52" i="3"/>
  <c r="B53" i="3"/>
  <c r="B54" i="3"/>
  <c r="D54" i="3" s="1"/>
  <c r="B55" i="3"/>
  <c r="B56" i="3"/>
  <c r="B57" i="3"/>
  <c r="B58" i="3"/>
  <c r="B59" i="3"/>
  <c r="D59" i="3" s="1"/>
  <c r="B60" i="3"/>
  <c r="D60" i="3" s="1"/>
  <c r="B61" i="3"/>
  <c r="D61" i="3" s="1"/>
  <c r="B62" i="3"/>
  <c r="D62" i="3" s="1"/>
  <c r="B63" i="3"/>
  <c r="D63" i="3" s="1"/>
  <c r="B64" i="3"/>
  <c r="D64" i="3" s="1"/>
  <c r="B65" i="3"/>
  <c r="D65" i="3" s="1"/>
  <c r="B66" i="3"/>
  <c r="D66" i="3" s="1"/>
  <c r="B67" i="3"/>
  <c r="D67" i="3" s="1"/>
  <c r="B68" i="3"/>
  <c r="B69" i="3"/>
  <c r="B70" i="3"/>
  <c r="B71" i="3"/>
  <c r="B72" i="3"/>
  <c r="B73" i="3"/>
  <c r="B74" i="3"/>
  <c r="B75" i="3"/>
  <c r="B76" i="3"/>
  <c r="B77" i="3"/>
  <c r="D77" i="3" s="1"/>
  <c r="B78" i="3"/>
  <c r="B79" i="3"/>
  <c r="D79" i="3" s="1"/>
  <c r="B80" i="3"/>
  <c r="D80" i="3" s="1"/>
  <c r="B81" i="3"/>
  <c r="D81" i="3" s="1"/>
  <c r="B82" i="3"/>
  <c r="D82" i="3" s="1"/>
  <c r="B83" i="3"/>
  <c r="D83" i="3" s="1"/>
  <c r="B84" i="3"/>
  <c r="D84" i="3" s="1"/>
  <c r="B85" i="3"/>
  <c r="D85" i="3" s="1"/>
  <c r="B86" i="3"/>
  <c r="D86" i="3" s="1"/>
  <c r="B87" i="3"/>
  <c r="D87" i="3" s="1"/>
  <c r="B88" i="3"/>
  <c r="D88" i="3" s="1"/>
  <c r="B89" i="3"/>
  <c r="D89" i="3" s="1"/>
  <c r="B90" i="3"/>
  <c r="D90" i="3" s="1"/>
  <c r="B91" i="3"/>
  <c r="B92" i="3"/>
  <c r="B93" i="3"/>
  <c r="B94" i="3"/>
  <c r="B95" i="3"/>
  <c r="D95" i="3" s="1"/>
  <c r="B96" i="3"/>
  <c r="D96" i="3" s="1"/>
  <c r="B97" i="3"/>
  <c r="D97" i="3" s="1"/>
  <c r="B98" i="3"/>
  <c r="D98" i="3" s="1"/>
  <c r="B99" i="3"/>
  <c r="D99" i="3" s="1"/>
  <c r="B100" i="3"/>
  <c r="D100" i="3" s="1"/>
  <c r="B101" i="3"/>
  <c r="D101" i="3" s="1"/>
  <c r="B102" i="3"/>
  <c r="D102" i="3" s="1"/>
  <c r="B103" i="3"/>
  <c r="D103" i="3" s="1"/>
  <c r="B104" i="3"/>
  <c r="B105" i="3"/>
  <c r="D105" i="3" s="1"/>
  <c r="B106" i="3"/>
  <c r="B107" i="3"/>
  <c r="B108" i="3"/>
  <c r="B109" i="3"/>
  <c r="B110" i="3"/>
  <c r="B111" i="3"/>
  <c r="B112" i="3"/>
  <c r="B113" i="3"/>
  <c r="D113" i="3" s="1"/>
  <c r="B114" i="3"/>
  <c r="D114" i="3" s="1"/>
  <c r="B115" i="3"/>
  <c r="D115" i="3" s="1"/>
  <c r="B116" i="3"/>
  <c r="D116" i="3" s="1"/>
  <c r="B117" i="3"/>
  <c r="D117" i="3" s="1"/>
  <c r="B118" i="3"/>
  <c r="D118" i="3" s="1"/>
  <c r="B119" i="3"/>
  <c r="D119" i="3" s="1"/>
  <c r="B120" i="3"/>
  <c r="D120" i="3" s="1"/>
  <c r="B121" i="3"/>
  <c r="D121" i="3" s="1"/>
  <c r="B122" i="3"/>
  <c r="B123" i="3"/>
  <c r="B124" i="3"/>
  <c r="B125" i="3"/>
  <c r="B126" i="3"/>
  <c r="B127" i="3"/>
  <c r="B128" i="3"/>
  <c r="B129" i="3"/>
  <c r="B130" i="3"/>
  <c r="B131" i="3"/>
  <c r="B132" i="3"/>
  <c r="D132" i="3" s="1"/>
  <c r="B133" i="3"/>
  <c r="D133" i="3" s="1"/>
  <c r="B134" i="3"/>
  <c r="D134" i="3" s="1"/>
  <c r="B135" i="3"/>
  <c r="D135" i="3" s="1"/>
  <c r="B136" i="3"/>
  <c r="D136" i="3" s="1"/>
  <c r="B137" i="3"/>
  <c r="D137" i="3" s="1"/>
  <c r="B138" i="3"/>
  <c r="D138" i="3" s="1"/>
  <c r="B139" i="3"/>
  <c r="D139" i="3" s="1"/>
  <c r="B140" i="3"/>
  <c r="B141" i="3"/>
  <c r="B142" i="3"/>
  <c r="B143" i="3"/>
  <c r="B144" i="3"/>
  <c r="B145" i="3"/>
  <c r="B146" i="3"/>
  <c r="B147" i="3"/>
  <c r="B148" i="3"/>
  <c r="B149" i="3"/>
  <c r="B150" i="3"/>
  <c r="B151" i="3"/>
  <c r="D151" i="3" s="1"/>
  <c r="B152" i="3"/>
  <c r="D152" i="3" s="1"/>
  <c r="B153" i="3"/>
  <c r="D153" i="3" s="1"/>
  <c r="B154" i="3"/>
  <c r="D154" i="3" s="1"/>
  <c r="B155" i="3"/>
  <c r="D155" i="3" s="1"/>
  <c r="B156" i="3"/>
  <c r="D156" i="3" s="1"/>
  <c r="B157" i="3"/>
  <c r="D157" i="3" s="1"/>
  <c r="B158" i="3"/>
  <c r="B159" i="3"/>
  <c r="B160" i="3"/>
  <c r="D160" i="3" s="1"/>
  <c r="B161" i="3"/>
  <c r="D161" i="3" s="1"/>
  <c r="B162" i="3"/>
  <c r="D162" i="3" s="1"/>
  <c r="B163" i="3"/>
  <c r="B164" i="3"/>
  <c r="B165" i="3"/>
  <c r="B166" i="3"/>
  <c r="B167" i="3"/>
  <c r="D167" i="3" s="1"/>
  <c r="B168" i="3"/>
  <c r="D168" i="3" s="1"/>
  <c r="B169" i="3"/>
  <c r="D169" i="3" s="1"/>
  <c r="B170" i="3"/>
  <c r="D170" i="3" s="1"/>
  <c r="B171" i="3"/>
  <c r="D171" i="3" s="1"/>
  <c r="B172" i="3"/>
  <c r="D172" i="3" s="1"/>
  <c r="B173" i="3"/>
  <c r="D173" i="3" s="1"/>
  <c r="B174" i="3"/>
  <c r="D174" i="3" s="1"/>
  <c r="B175" i="3"/>
  <c r="D175" i="3" s="1"/>
  <c r="B176" i="3"/>
  <c r="B177" i="3"/>
  <c r="B178" i="3"/>
  <c r="B179" i="3"/>
  <c r="D179" i="3" s="1"/>
  <c r="B180" i="3"/>
  <c r="B181" i="3"/>
  <c r="B182" i="3"/>
  <c r="B183" i="3"/>
  <c r="B184" i="3"/>
  <c r="B185" i="3"/>
  <c r="D185" i="3" s="1"/>
  <c r="B186" i="3"/>
  <c r="D186" i="3" s="1"/>
  <c r="B187" i="3"/>
  <c r="D187" i="3" s="1"/>
  <c r="B188" i="3"/>
  <c r="D188" i="3" s="1"/>
  <c r="B189" i="3"/>
  <c r="D189" i="3" s="1"/>
  <c r="B190" i="3"/>
  <c r="D190" i="3" s="1"/>
  <c r="B191" i="3"/>
  <c r="D191" i="3" s="1"/>
  <c r="B192" i="3"/>
  <c r="D192" i="3" s="1"/>
  <c r="B193" i="3"/>
  <c r="D193" i="3" s="1"/>
  <c r="B194" i="3"/>
  <c r="B195" i="3"/>
  <c r="B196" i="3"/>
  <c r="B197" i="3"/>
  <c r="B198" i="3"/>
  <c r="B199" i="3"/>
  <c r="B200" i="3"/>
  <c r="B201" i="3"/>
  <c r="B202" i="3"/>
  <c r="B203" i="3"/>
  <c r="B204" i="3"/>
  <c r="B205" i="3"/>
  <c r="D205" i="3" s="1"/>
  <c r="B206" i="3"/>
  <c r="D206" i="3" s="1"/>
  <c r="B207" i="3"/>
  <c r="D207" i="3" s="1"/>
  <c r="B208" i="3"/>
  <c r="D208" i="3" s="1"/>
  <c r="B209" i="3"/>
  <c r="D209" i="3" s="1"/>
  <c r="B210" i="3"/>
  <c r="B211" i="3"/>
  <c r="D211" i="3" s="1"/>
  <c r="B212" i="3"/>
  <c r="B213" i="3"/>
  <c r="B214" i="3"/>
  <c r="B215" i="3"/>
  <c r="B216" i="3"/>
  <c r="B217" i="3"/>
  <c r="B218" i="3"/>
  <c r="B219" i="3"/>
  <c r="B220" i="3"/>
  <c r="B221" i="3"/>
  <c r="B222" i="3"/>
  <c r="B223" i="3"/>
  <c r="D223" i="3" s="1"/>
  <c r="B224" i="3"/>
  <c r="D224" i="3" s="1"/>
  <c r="B225" i="3"/>
  <c r="D225" i="3" s="1"/>
  <c r="B226" i="3"/>
  <c r="D226" i="3" s="1"/>
  <c r="B227" i="3"/>
  <c r="D227" i="3" s="1"/>
  <c r="B228" i="3"/>
  <c r="D228" i="3" s="1"/>
  <c r="B229" i="3"/>
  <c r="D229" i="3" s="1"/>
  <c r="B230" i="3"/>
  <c r="D230" i="3" s="1"/>
  <c r="B231" i="3"/>
  <c r="B232" i="3"/>
  <c r="B233" i="3"/>
  <c r="B234" i="3"/>
  <c r="D234" i="3" s="1"/>
  <c r="B235" i="3"/>
  <c r="B236" i="3"/>
  <c r="B237" i="3"/>
  <c r="B238" i="3"/>
  <c r="B239" i="3"/>
  <c r="D239" i="3" s="1"/>
  <c r="B240" i="3"/>
  <c r="D240" i="3" s="1"/>
  <c r="B241" i="3"/>
  <c r="D241" i="3" s="1"/>
  <c r="B242" i="3"/>
  <c r="D242" i="3" s="1"/>
  <c r="B243" i="3"/>
  <c r="D243" i="3" s="1"/>
  <c r="B244" i="3"/>
  <c r="D244" i="3" s="1"/>
  <c r="B245" i="3"/>
  <c r="D245" i="3" s="1"/>
  <c r="B246" i="3"/>
  <c r="D246" i="3" s="1"/>
  <c r="B247" i="3"/>
  <c r="D247" i="3" s="1"/>
  <c r="B248" i="3"/>
  <c r="B249" i="3"/>
  <c r="B250" i="3"/>
  <c r="B251" i="3"/>
  <c r="B252" i="3"/>
  <c r="B253" i="3"/>
  <c r="B254" i="3"/>
  <c r="B255" i="3"/>
  <c r="B256" i="3"/>
  <c r="B257" i="3"/>
  <c r="D257" i="3" s="1"/>
  <c r="B258" i="3"/>
  <c r="D258" i="3" s="1"/>
  <c r="B259" i="3"/>
  <c r="D259" i="3" s="1"/>
  <c r="B260" i="3"/>
  <c r="D260" i="3" s="1"/>
  <c r="B261" i="3"/>
  <c r="D261" i="3" s="1"/>
  <c r="B262" i="3"/>
  <c r="D262" i="3" s="1"/>
  <c r="B263" i="3"/>
  <c r="D263" i="3" s="1"/>
  <c r="B264" i="3"/>
  <c r="D264" i="3" s="1"/>
  <c r="B265" i="3"/>
  <c r="D265" i="3" s="1"/>
  <c r="B266" i="3"/>
  <c r="B267" i="3"/>
  <c r="B268" i="3"/>
  <c r="B269" i="3"/>
  <c r="B270" i="3"/>
  <c r="B271" i="3"/>
  <c r="B272" i="3"/>
  <c r="B273" i="3"/>
  <c r="B274" i="3"/>
  <c r="B275" i="3"/>
  <c r="B276" i="3"/>
  <c r="D276" i="3" s="1"/>
  <c r="B277" i="3"/>
  <c r="D277" i="3" s="1"/>
  <c r="B278" i="3"/>
  <c r="D278" i="3" s="1"/>
  <c r="B279" i="3"/>
  <c r="D279" i="3" s="1"/>
  <c r="B280" i="3"/>
  <c r="D280" i="3" s="1"/>
  <c r="B281" i="3"/>
  <c r="D281" i="3" s="1"/>
  <c r="B282" i="3"/>
  <c r="D282" i="3" s="1"/>
  <c r="B283" i="3"/>
  <c r="D283" i="3" s="1"/>
  <c r="B284" i="3"/>
  <c r="B285" i="3"/>
  <c r="D285" i="3" s="1"/>
  <c r="B286" i="3"/>
  <c r="D286" i="3" s="1"/>
  <c r="B287" i="3"/>
  <c r="D287" i="3" s="1"/>
  <c r="B288" i="3"/>
  <c r="D288" i="3" s="1"/>
  <c r="B289" i="3"/>
  <c r="B290" i="3"/>
  <c r="B291" i="3"/>
  <c r="B292" i="3"/>
  <c r="B293" i="3"/>
  <c r="D293" i="3" s="1"/>
  <c r="B294" i="3"/>
  <c r="D294" i="3" s="1"/>
  <c r="B295" i="3"/>
  <c r="D295" i="3" s="1"/>
  <c r="B296" i="3"/>
  <c r="D296" i="3" s="1"/>
  <c r="B297" i="3"/>
  <c r="D297" i="3" s="1"/>
  <c r="B298" i="3"/>
  <c r="D298" i="3" s="1"/>
  <c r="B299" i="3"/>
  <c r="D299" i="3" s="1"/>
  <c r="B300" i="3"/>
  <c r="D300" i="3" s="1"/>
  <c r="B301" i="3"/>
  <c r="D301" i="3" s="1"/>
  <c r="B2" i="3"/>
</calcChain>
</file>

<file path=xl/sharedStrings.xml><?xml version="1.0" encoding="utf-8"?>
<sst xmlns="http://schemas.openxmlformats.org/spreadsheetml/2006/main" count="1860" uniqueCount="874">
  <si>
    <t>InvoiceNo</t>
  </si>
  <si>
    <t>CustomerID</t>
  </si>
  <si>
    <t>InvoiceDate</t>
  </si>
  <si>
    <t>Qty_Inv</t>
  </si>
  <si>
    <t>UnitPrice</t>
  </si>
  <si>
    <t>Total_Amount</t>
  </si>
  <si>
    <t>INV0001</t>
  </si>
  <si>
    <t>C004</t>
  </si>
  <si>
    <t>2025-01-09</t>
  </si>
  <si>
    <t>INV0002</t>
  </si>
  <si>
    <t>C024</t>
  </si>
  <si>
    <t>2025-08-23</t>
  </si>
  <si>
    <t>INV0003</t>
  </si>
  <si>
    <t>C032</t>
  </si>
  <si>
    <t>2025-05-04</t>
  </si>
  <si>
    <t>INV0004</t>
  </si>
  <si>
    <t>C027</t>
  </si>
  <si>
    <t>2025-07-16</t>
  </si>
  <si>
    <t>INV0005</t>
  </si>
  <si>
    <t>2025-03-28</t>
  </si>
  <si>
    <t>INV0006</t>
  </si>
  <si>
    <t>C010</t>
  </si>
  <si>
    <t>2025-02-20</t>
  </si>
  <si>
    <t>INV0007</t>
  </si>
  <si>
    <t>C008</t>
  </si>
  <si>
    <t>2025-05-23</t>
  </si>
  <si>
    <t>INV0008</t>
  </si>
  <si>
    <t>C033</t>
  </si>
  <si>
    <t>2025-01-20</t>
  </si>
  <si>
    <t>INV0009</t>
  </si>
  <si>
    <t>C015</t>
  </si>
  <si>
    <t>2025-12-02</t>
  </si>
  <si>
    <t>INV0010</t>
  </si>
  <si>
    <t>C035</t>
  </si>
  <si>
    <t>2025-07-11</t>
  </si>
  <si>
    <t>INV0011</t>
  </si>
  <si>
    <t>C017</t>
  </si>
  <si>
    <t>2025-05-08</t>
  </si>
  <si>
    <t>INV0012</t>
  </si>
  <si>
    <t>C013</t>
  </si>
  <si>
    <t>2025-07-21</t>
  </si>
  <si>
    <t>INV0013</t>
  </si>
  <si>
    <t>C018</t>
  </si>
  <si>
    <t>2025-03-21</t>
  </si>
  <si>
    <t>INV0014</t>
  </si>
  <si>
    <t>C020</t>
  </si>
  <si>
    <t>2025-06-16</t>
  </si>
  <si>
    <t>INV0015</t>
  </si>
  <si>
    <t>C021</t>
  </si>
  <si>
    <t>2025-12-13</t>
  </si>
  <si>
    <t>INV0016</t>
  </si>
  <si>
    <t>2025-07-04</t>
  </si>
  <si>
    <t>INV0017</t>
  </si>
  <si>
    <t>2025-08-03</t>
  </si>
  <si>
    <t>INV0018</t>
  </si>
  <si>
    <t>C023</t>
  </si>
  <si>
    <t>2025-11-20</t>
  </si>
  <si>
    <t>INV0019</t>
  </si>
  <si>
    <t>C038</t>
  </si>
  <si>
    <t>2025-06-04</t>
  </si>
  <si>
    <t>INV0020</t>
  </si>
  <si>
    <t>C030</t>
  </si>
  <si>
    <t>2025-07-19</t>
  </si>
  <si>
    <t>INV0021</t>
  </si>
  <si>
    <t>C039</t>
  </si>
  <si>
    <t>2025-04-27</t>
  </si>
  <si>
    <t>INV0022</t>
  </si>
  <si>
    <t>2025-02-10</t>
  </si>
  <si>
    <t>INV0023</t>
  </si>
  <si>
    <t>2025-09-15</t>
  </si>
  <si>
    <t>INV0024</t>
  </si>
  <si>
    <t>2025-08-20</t>
  </si>
  <si>
    <t>INV0025</t>
  </si>
  <si>
    <t>2025-06-26</t>
  </si>
  <si>
    <t>INV0026</t>
  </si>
  <si>
    <t>C002</t>
  </si>
  <si>
    <t>2025-08-18</t>
  </si>
  <si>
    <t>INV0027</t>
  </si>
  <si>
    <t>C011</t>
  </si>
  <si>
    <t>2025-11-08</t>
  </si>
  <si>
    <t>INV0028</t>
  </si>
  <si>
    <t>2025-01-08</t>
  </si>
  <si>
    <t>INV0029</t>
  </si>
  <si>
    <t>C022</t>
  </si>
  <si>
    <t>2025-12-08</t>
  </si>
  <si>
    <t>INV0030</t>
  </si>
  <si>
    <t>2025-02-23</t>
  </si>
  <si>
    <t>INV0031</t>
  </si>
  <si>
    <t>2025-08-24</t>
  </si>
  <si>
    <t>INV0032</t>
  </si>
  <si>
    <t>C037</t>
  </si>
  <si>
    <t>INV0033</t>
  </si>
  <si>
    <t>C028</t>
  </si>
  <si>
    <t>2025-10-24</t>
  </si>
  <si>
    <t>INV0034</t>
  </si>
  <si>
    <t>C009</t>
  </si>
  <si>
    <t>2025-01-18</t>
  </si>
  <si>
    <t>INV0035</t>
  </si>
  <si>
    <t>2025-06-07</t>
  </si>
  <si>
    <t>INV0036</t>
  </si>
  <si>
    <t>2025-04-26</t>
  </si>
  <si>
    <t>INV0037</t>
  </si>
  <si>
    <t>2025-10-07</t>
  </si>
  <si>
    <t>INV0038</t>
  </si>
  <si>
    <t>2025-02-01</t>
  </si>
  <si>
    <t>INV0039</t>
  </si>
  <si>
    <t>C012</t>
  </si>
  <si>
    <t>2025-07-25</t>
  </si>
  <si>
    <t>INV0040</t>
  </si>
  <si>
    <t>2025-06-19</t>
  </si>
  <si>
    <t>INV0041</t>
  </si>
  <si>
    <t>C007</t>
  </si>
  <si>
    <t>2025-01-05</t>
  </si>
  <si>
    <t>INV0042</t>
  </si>
  <si>
    <t>2025-09-01</t>
  </si>
  <si>
    <t>INV0043</t>
  </si>
  <si>
    <t>INV0044</t>
  </si>
  <si>
    <t>2025-07-26</t>
  </si>
  <si>
    <t>INV0045</t>
  </si>
  <si>
    <t>C031</t>
  </si>
  <si>
    <t>2025-08-07</t>
  </si>
  <si>
    <t>INV0046</t>
  </si>
  <si>
    <t>2025-03-13</t>
  </si>
  <si>
    <t>INV0047</t>
  </si>
  <si>
    <t>2025-07-10</t>
  </si>
  <si>
    <t>INV0048</t>
  </si>
  <si>
    <t>2025-05-15</t>
  </si>
  <si>
    <t>INV0049</t>
  </si>
  <si>
    <t>2025-09-03</t>
  </si>
  <si>
    <t>INV0050</t>
  </si>
  <si>
    <t>2025-01-03</t>
  </si>
  <si>
    <t>INV0051</t>
  </si>
  <si>
    <t>2025-07-02</t>
  </si>
  <si>
    <t>INV0052</t>
  </si>
  <si>
    <t>C025</t>
  </si>
  <si>
    <t>2025-08-12</t>
  </si>
  <si>
    <t>INV0053</t>
  </si>
  <si>
    <t>2025-10-17</t>
  </si>
  <si>
    <t>INV0054</t>
  </si>
  <si>
    <t>C006</t>
  </si>
  <si>
    <t>2025-04-13</t>
  </si>
  <si>
    <t>INV0055</t>
  </si>
  <si>
    <t>2025-11-12</t>
  </si>
  <si>
    <t>INV0056</t>
  </si>
  <si>
    <t>2025-06-10</t>
  </si>
  <si>
    <t>INV0057</t>
  </si>
  <si>
    <t>2025-05-25</t>
  </si>
  <si>
    <t>INV0058</t>
  </si>
  <si>
    <t>2025-07-09</t>
  </si>
  <si>
    <t>INV0059</t>
  </si>
  <si>
    <t>2025-05-19</t>
  </si>
  <si>
    <t>INV0060</t>
  </si>
  <si>
    <t>C005</t>
  </si>
  <si>
    <t>2025-12-15</t>
  </si>
  <si>
    <t>INV0061</t>
  </si>
  <si>
    <t>C014</t>
  </si>
  <si>
    <t>2025-08-11</t>
  </si>
  <si>
    <t>INV0062</t>
  </si>
  <si>
    <t>2025-04-04</t>
  </si>
  <si>
    <t>INV0063</t>
  </si>
  <si>
    <t>2025-09-28</t>
  </si>
  <si>
    <t>INV0064</t>
  </si>
  <si>
    <t>2025-02-11</t>
  </si>
  <si>
    <t>INV0065</t>
  </si>
  <si>
    <t>2025-06-14</t>
  </si>
  <si>
    <t>INV0066</t>
  </si>
  <si>
    <t>2025-04-25</t>
  </si>
  <si>
    <t>INV0067</t>
  </si>
  <si>
    <t>2025-07-13</t>
  </si>
  <si>
    <t>INV0068</t>
  </si>
  <si>
    <t>2025-10-22</t>
  </si>
  <si>
    <t>INV0069</t>
  </si>
  <si>
    <t>C003</t>
  </si>
  <si>
    <t>2025-11-28</t>
  </si>
  <si>
    <t>INV0070</t>
  </si>
  <si>
    <t>INV0071</t>
  </si>
  <si>
    <t>2025-02-24</t>
  </si>
  <si>
    <t>INV0072</t>
  </si>
  <si>
    <t>C029</t>
  </si>
  <si>
    <t>2025-02-28</t>
  </si>
  <si>
    <t>INV0073</t>
  </si>
  <si>
    <t>2025-03-18</t>
  </si>
  <si>
    <t>INV0074</t>
  </si>
  <si>
    <t>INV0075</t>
  </si>
  <si>
    <t>2025-01-07</t>
  </si>
  <si>
    <t>INV0076</t>
  </si>
  <si>
    <t>C026</t>
  </si>
  <si>
    <t>2025-12-22</t>
  </si>
  <si>
    <t>INV0077</t>
  </si>
  <si>
    <t>2025-08-25</t>
  </si>
  <si>
    <t>INV0078</t>
  </si>
  <si>
    <t>C040</t>
  </si>
  <si>
    <t>2025-10-13</t>
  </si>
  <si>
    <t>INV0079</t>
  </si>
  <si>
    <t>2025-08-01</t>
  </si>
  <si>
    <t>INV0080</t>
  </si>
  <si>
    <t>2025-03-07</t>
  </si>
  <si>
    <t>INV0081</t>
  </si>
  <si>
    <t>INV0082</t>
  </si>
  <si>
    <t>INV0083</t>
  </si>
  <si>
    <t>2025-03-25</t>
  </si>
  <si>
    <t>INV0084</t>
  </si>
  <si>
    <t>2025-01-02</t>
  </si>
  <si>
    <t>INV0085</t>
  </si>
  <si>
    <t>2025-11-15</t>
  </si>
  <si>
    <t>INV0086</t>
  </si>
  <si>
    <t>2025-01-10</t>
  </si>
  <si>
    <t>INV0087</t>
  </si>
  <si>
    <t>2025-01-16</t>
  </si>
  <si>
    <t>INV0088</t>
  </si>
  <si>
    <t>INV0089</t>
  </si>
  <si>
    <t>INV0090</t>
  </si>
  <si>
    <t>2025-12-06</t>
  </si>
  <si>
    <t>INV0091</t>
  </si>
  <si>
    <t>2025-09-25</t>
  </si>
  <si>
    <t>INV0092</t>
  </si>
  <si>
    <t>2025-07-12</t>
  </si>
  <si>
    <t>INV0093</t>
  </si>
  <si>
    <t>2025-06-12</t>
  </si>
  <si>
    <t>INV0094</t>
  </si>
  <si>
    <t>2025-02-02</t>
  </si>
  <si>
    <t>INV0095</t>
  </si>
  <si>
    <t>2025-10-04</t>
  </si>
  <si>
    <t>INV0096</t>
  </si>
  <si>
    <t>INV0097</t>
  </si>
  <si>
    <t>C019</t>
  </si>
  <si>
    <t>2025-09-06</t>
  </si>
  <si>
    <t>INV0098</t>
  </si>
  <si>
    <t>INV0099</t>
  </si>
  <si>
    <t>C016</t>
  </si>
  <si>
    <t>2025-03-15</t>
  </si>
  <si>
    <t>INV0100</t>
  </si>
  <si>
    <t>2025-11-14</t>
  </si>
  <si>
    <t>INV0101</t>
  </si>
  <si>
    <t>INV0102</t>
  </si>
  <si>
    <t>2025-10-01</t>
  </si>
  <si>
    <t>INV0103</t>
  </si>
  <si>
    <t>2025-02-04</t>
  </si>
  <si>
    <t>INV0104</t>
  </si>
  <si>
    <t>2025-12-03</t>
  </si>
  <si>
    <t>INV0105</t>
  </si>
  <si>
    <t>2025-01-19</t>
  </si>
  <si>
    <t>INV0106</t>
  </si>
  <si>
    <t>2025-11-07</t>
  </si>
  <si>
    <t>INV0107</t>
  </si>
  <si>
    <t>2025-11-19</t>
  </si>
  <si>
    <t>INV0108</t>
  </si>
  <si>
    <t>INV0109</t>
  </si>
  <si>
    <t>INV0110</t>
  </si>
  <si>
    <t>2025-04-19</t>
  </si>
  <si>
    <t>INV0111</t>
  </si>
  <si>
    <t>INV0112</t>
  </si>
  <si>
    <t>2025-09-14</t>
  </si>
  <si>
    <t>INV0113</t>
  </si>
  <si>
    <t>2025-06-27</t>
  </si>
  <si>
    <t>INV0114</t>
  </si>
  <si>
    <t>INV0115</t>
  </si>
  <si>
    <t>2025-11-26</t>
  </si>
  <si>
    <t>INV0116</t>
  </si>
  <si>
    <t>2025-07-17</t>
  </si>
  <si>
    <t>INV0117</t>
  </si>
  <si>
    <t>2025-10-20</t>
  </si>
  <si>
    <t>INV0118</t>
  </si>
  <si>
    <t>INV0119</t>
  </si>
  <si>
    <t>2025-03-22</t>
  </si>
  <si>
    <t>INV0120</t>
  </si>
  <si>
    <t>2025-06-06</t>
  </si>
  <si>
    <t>INV0121</t>
  </si>
  <si>
    <t>INV0122</t>
  </si>
  <si>
    <t>INV0123</t>
  </si>
  <si>
    <t>INV0124</t>
  </si>
  <si>
    <t>2025-12-20</t>
  </si>
  <si>
    <t>INV0125</t>
  </si>
  <si>
    <t>INV0126</t>
  </si>
  <si>
    <t>2025-08-19</t>
  </si>
  <si>
    <t>INV0127</t>
  </si>
  <si>
    <t>INV0128</t>
  </si>
  <si>
    <t>INV0129</t>
  </si>
  <si>
    <t>2025-08-13</t>
  </si>
  <si>
    <t>INV0130</t>
  </si>
  <si>
    <t>INV0131</t>
  </si>
  <si>
    <t>2025-06-03</t>
  </si>
  <si>
    <t>INV0132</t>
  </si>
  <si>
    <t>INV0133</t>
  </si>
  <si>
    <t>INV0134</t>
  </si>
  <si>
    <t>2025-11-04</t>
  </si>
  <si>
    <t>INV0135</t>
  </si>
  <si>
    <t>INV0136</t>
  </si>
  <si>
    <t>2025-06-15</t>
  </si>
  <si>
    <t>INV0137</t>
  </si>
  <si>
    <t>INV0138</t>
  </si>
  <si>
    <t>2025-08-09</t>
  </si>
  <si>
    <t>INV0139</t>
  </si>
  <si>
    <t>2025-05-14</t>
  </si>
  <si>
    <t>INV0140</t>
  </si>
  <si>
    <t>2025-02-21</t>
  </si>
  <si>
    <t>INV0141</t>
  </si>
  <si>
    <t>INV0142</t>
  </si>
  <si>
    <t>2025-09-22</t>
  </si>
  <si>
    <t>INV0143</t>
  </si>
  <si>
    <t>C036</t>
  </si>
  <si>
    <t>2025-08-26</t>
  </si>
  <si>
    <t>INV0144</t>
  </si>
  <si>
    <t>INV0145</t>
  </si>
  <si>
    <t>INV0146</t>
  </si>
  <si>
    <t>INV0147</t>
  </si>
  <si>
    <t>C034</t>
  </si>
  <si>
    <t>2025-01-15</t>
  </si>
  <si>
    <t>INV0148</t>
  </si>
  <si>
    <t>2025-03-08</t>
  </si>
  <si>
    <t>INV0149</t>
  </si>
  <si>
    <t>INV0150</t>
  </si>
  <si>
    <t>2025-06-08</t>
  </si>
  <si>
    <t>INV0151</t>
  </si>
  <si>
    <t>2025-10-11</t>
  </si>
  <si>
    <t>INV0152</t>
  </si>
  <si>
    <t>INV0153</t>
  </si>
  <si>
    <t>2025-11-17</t>
  </si>
  <si>
    <t>INV0154</t>
  </si>
  <si>
    <t>INV0155</t>
  </si>
  <si>
    <t>2025-11-05</t>
  </si>
  <si>
    <t>INV0156</t>
  </si>
  <si>
    <t>2025-10-05</t>
  </si>
  <si>
    <t>INV0157</t>
  </si>
  <si>
    <t>INV0158</t>
  </si>
  <si>
    <t>2025-12-19</t>
  </si>
  <si>
    <t>INV0159</t>
  </si>
  <si>
    <t>2025-10-23</t>
  </si>
  <si>
    <t>INV0160</t>
  </si>
  <si>
    <t>2025-02-14</t>
  </si>
  <si>
    <t>INV0161</t>
  </si>
  <si>
    <t>2025-05-11</t>
  </si>
  <si>
    <t>INV0162</t>
  </si>
  <si>
    <t>2025-04-10</t>
  </si>
  <si>
    <t>INV0163</t>
  </si>
  <si>
    <t>2025-12-25</t>
  </si>
  <si>
    <t>INV0164</t>
  </si>
  <si>
    <t>2025-09-12</t>
  </si>
  <si>
    <t>INV0165</t>
  </si>
  <si>
    <t>INV0166</t>
  </si>
  <si>
    <t>INV0167</t>
  </si>
  <si>
    <t>INV0168</t>
  </si>
  <si>
    <t>INV0169</t>
  </si>
  <si>
    <t>2025-09-04</t>
  </si>
  <si>
    <t>INV0170</t>
  </si>
  <si>
    <t>2025-01-26</t>
  </si>
  <si>
    <t>INV0171</t>
  </si>
  <si>
    <t>INV0172</t>
  </si>
  <si>
    <t>2025-03-14</t>
  </si>
  <si>
    <t>INV0173</t>
  </si>
  <si>
    <t>INV0174</t>
  </si>
  <si>
    <t>INV0175</t>
  </si>
  <si>
    <t>2025-10-18</t>
  </si>
  <si>
    <t>INV0176</t>
  </si>
  <si>
    <t>2025-11-16</t>
  </si>
  <si>
    <t>INV0177</t>
  </si>
  <si>
    <t>INV0178</t>
  </si>
  <si>
    <t>2025-09-10</t>
  </si>
  <si>
    <t>INV0179</t>
  </si>
  <si>
    <t>C001</t>
  </si>
  <si>
    <t>2025-08-06</t>
  </si>
  <si>
    <t>INV0180</t>
  </si>
  <si>
    <t>INV0181</t>
  </si>
  <si>
    <t>INV0182</t>
  </si>
  <si>
    <t>INV0183</t>
  </si>
  <si>
    <t>2025-01-17</t>
  </si>
  <si>
    <t>INV0184</t>
  </si>
  <si>
    <t>2025-05-10</t>
  </si>
  <si>
    <t>INV0185</t>
  </si>
  <si>
    <t>INV0186</t>
  </si>
  <si>
    <t>INV0187</t>
  </si>
  <si>
    <t>2025-05-07</t>
  </si>
  <si>
    <t>INV0188</t>
  </si>
  <si>
    <t>2025-11-11</t>
  </si>
  <si>
    <t>INV0189</t>
  </si>
  <si>
    <t>INV0190</t>
  </si>
  <si>
    <t>2025-05-13</t>
  </si>
  <si>
    <t>INV0191</t>
  </si>
  <si>
    <t>2025-01-28</t>
  </si>
  <si>
    <t>INV0192</t>
  </si>
  <si>
    <t>INV0193</t>
  </si>
  <si>
    <t>2025-10-25</t>
  </si>
  <si>
    <t>INV0194</t>
  </si>
  <si>
    <t>INV0195</t>
  </si>
  <si>
    <t>2025-12-07</t>
  </si>
  <si>
    <t>INV0196</t>
  </si>
  <si>
    <t>2025-10-08</t>
  </si>
  <si>
    <t>INV0197</t>
  </si>
  <si>
    <t>INV0198</t>
  </si>
  <si>
    <t>INV0199</t>
  </si>
  <si>
    <t>2025-04-03</t>
  </si>
  <si>
    <t>INV0200</t>
  </si>
  <si>
    <t>INV0201</t>
  </si>
  <si>
    <t>2025-05-20</t>
  </si>
  <si>
    <t>INV0202</t>
  </si>
  <si>
    <t>2025-09-17</t>
  </si>
  <si>
    <t>INV0203</t>
  </si>
  <si>
    <t>INV0204</t>
  </si>
  <si>
    <t>2025-12-11</t>
  </si>
  <si>
    <t>INV0205</t>
  </si>
  <si>
    <t>INV0206</t>
  </si>
  <si>
    <t>2025-12-10</t>
  </si>
  <si>
    <t>INV0207</t>
  </si>
  <si>
    <t>2025-10-15</t>
  </si>
  <si>
    <t>INV0208</t>
  </si>
  <si>
    <t>INV0209</t>
  </si>
  <si>
    <t>2025-02-18</t>
  </si>
  <si>
    <t>INV0210</t>
  </si>
  <si>
    <t>INV0211</t>
  </si>
  <si>
    <t>INV0212</t>
  </si>
  <si>
    <t>2025-10-06</t>
  </si>
  <si>
    <t>INV0213</t>
  </si>
  <si>
    <t>INV0214</t>
  </si>
  <si>
    <t>2025-06-05</t>
  </si>
  <si>
    <t>INV0215</t>
  </si>
  <si>
    <t>2025-03-16</t>
  </si>
  <si>
    <t>INV0216</t>
  </si>
  <si>
    <t>INV0217</t>
  </si>
  <si>
    <t>INV0218</t>
  </si>
  <si>
    <t>2025-10-12</t>
  </si>
  <si>
    <t>INV0219</t>
  </si>
  <si>
    <t>2025-01-22</t>
  </si>
  <si>
    <t>INV0220</t>
  </si>
  <si>
    <t>2025-03-11</t>
  </si>
  <si>
    <t>INV0221</t>
  </si>
  <si>
    <t>2025-04-28</t>
  </si>
  <si>
    <t>INV0222</t>
  </si>
  <si>
    <t>2025-04-09</t>
  </si>
  <si>
    <t>INV0223</t>
  </si>
  <si>
    <t>INV0224</t>
  </si>
  <si>
    <t>INV0225</t>
  </si>
  <si>
    <t>2025-04-07</t>
  </si>
  <si>
    <t>INV0226</t>
  </si>
  <si>
    <t>2025-01-06</t>
  </si>
  <si>
    <t>INV0227</t>
  </si>
  <si>
    <t>2025-02-03</t>
  </si>
  <si>
    <t>INV0228</t>
  </si>
  <si>
    <t>2025-04-18</t>
  </si>
  <si>
    <t>INV0229</t>
  </si>
  <si>
    <t>2025-10-10</t>
  </si>
  <si>
    <t>INV0230</t>
  </si>
  <si>
    <t>2025-03-04</t>
  </si>
  <si>
    <t>INV0231</t>
  </si>
  <si>
    <t>INV0232</t>
  </si>
  <si>
    <t>INV0233</t>
  </si>
  <si>
    <t>2025-03-02</t>
  </si>
  <si>
    <t>INV0234</t>
  </si>
  <si>
    <t>INV0235</t>
  </si>
  <si>
    <t>INV0236</t>
  </si>
  <si>
    <t>INV0237</t>
  </si>
  <si>
    <t>INV0238</t>
  </si>
  <si>
    <t>INV0239</t>
  </si>
  <si>
    <t>2025-03-12</t>
  </si>
  <si>
    <t>INV0240</t>
  </si>
  <si>
    <t>2025-04-14</t>
  </si>
  <si>
    <t>INV0241</t>
  </si>
  <si>
    <t>2025-10-19</t>
  </si>
  <si>
    <t>INV0242</t>
  </si>
  <si>
    <t>INV0243</t>
  </si>
  <si>
    <t>2025-06-22</t>
  </si>
  <si>
    <t>INV0244</t>
  </si>
  <si>
    <t>2025-03-03</t>
  </si>
  <si>
    <t>INV0245</t>
  </si>
  <si>
    <t>2025-12-27</t>
  </si>
  <si>
    <t>INV0246</t>
  </si>
  <si>
    <t>INV0247</t>
  </si>
  <si>
    <t>2025-12-17</t>
  </si>
  <si>
    <t>INV0248</t>
  </si>
  <si>
    <t>2025-09-13</t>
  </si>
  <si>
    <t>INV0249</t>
  </si>
  <si>
    <t>INV0250</t>
  </si>
  <si>
    <t>2025-04-24</t>
  </si>
  <si>
    <t>INV0251</t>
  </si>
  <si>
    <t>INV0252</t>
  </si>
  <si>
    <t>INV0253</t>
  </si>
  <si>
    <t>INV0254</t>
  </si>
  <si>
    <t>2025-04-21</t>
  </si>
  <si>
    <t>INV0255</t>
  </si>
  <si>
    <t>INV0256</t>
  </si>
  <si>
    <t>2025-12-21</t>
  </si>
  <si>
    <t>INV0257</t>
  </si>
  <si>
    <t>INV0258</t>
  </si>
  <si>
    <t>INV0259</t>
  </si>
  <si>
    <t>2025-07-08</t>
  </si>
  <si>
    <t>INV0260</t>
  </si>
  <si>
    <t>2025-10-09</t>
  </si>
  <si>
    <t>INV0261</t>
  </si>
  <si>
    <t>2025-10-03</t>
  </si>
  <si>
    <t>INV0262</t>
  </si>
  <si>
    <t>INV0263</t>
  </si>
  <si>
    <t>2025-12-18</t>
  </si>
  <si>
    <t>INV0264</t>
  </si>
  <si>
    <t>INV0265</t>
  </si>
  <si>
    <t>2025-08-16</t>
  </si>
  <si>
    <t>INV0266</t>
  </si>
  <si>
    <t>INV0267</t>
  </si>
  <si>
    <t>2025-07-24</t>
  </si>
  <si>
    <t>INV0268</t>
  </si>
  <si>
    <t>INV0269</t>
  </si>
  <si>
    <t>2025-07-23</t>
  </si>
  <si>
    <t>INV0270</t>
  </si>
  <si>
    <t>2025-07-27</t>
  </si>
  <si>
    <t>INV0271</t>
  </si>
  <si>
    <t>2025-03-24</t>
  </si>
  <si>
    <t>INV0272</t>
  </si>
  <si>
    <t>INV0273</t>
  </si>
  <si>
    <t>INV0274</t>
  </si>
  <si>
    <t>INV0275</t>
  </si>
  <si>
    <t>2025-09-02</t>
  </si>
  <si>
    <t>INV0276</t>
  </si>
  <si>
    <t>INV0277</t>
  </si>
  <si>
    <t>INV0278</t>
  </si>
  <si>
    <t>INV0279</t>
  </si>
  <si>
    <t>2025-04-11</t>
  </si>
  <si>
    <t>INV0280</t>
  </si>
  <si>
    <t>INV0281</t>
  </si>
  <si>
    <t>INV0282</t>
  </si>
  <si>
    <t>INV0283</t>
  </si>
  <si>
    <t>INV0284</t>
  </si>
  <si>
    <t>2025-05-18</t>
  </si>
  <si>
    <t>INV0285</t>
  </si>
  <si>
    <t>INV0286</t>
  </si>
  <si>
    <t>2025-02-12</t>
  </si>
  <si>
    <t>INV0287</t>
  </si>
  <si>
    <t>2025-12-14</t>
  </si>
  <si>
    <t>INV0288</t>
  </si>
  <si>
    <t>2025-09-23</t>
  </si>
  <si>
    <t>INV0289</t>
  </si>
  <si>
    <t>2025-11-03</t>
  </si>
  <si>
    <t>INV0290</t>
  </si>
  <si>
    <t>INV0291</t>
  </si>
  <si>
    <t>INV0292</t>
  </si>
  <si>
    <t>INV0293</t>
  </si>
  <si>
    <t>2025-05-06</t>
  </si>
  <si>
    <t>INV0294</t>
  </si>
  <si>
    <t>2025-11-13</t>
  </si>
  <si>
    <t>INV0295</t>
  </si>
  <si>
    <t>INV0296</t>
  </si>
  <si>
    <t>INV0297</t>
  </si>
  <si>
    <t>2025-06-13</t>
  </si>
  <si>
    <t>INV0298</t>
  </si>
  <si>
    <t>2025-09-09</t>
  </si>
  <si>
    <t>INV0299</t>
  </si>
  <si>
    <t>2025-04-22</t>
  </si>
  <si>
    <t>INV0300</t>
  </si>
  <si>
    <t>2025-03-17</t>
  </si>
  <si>
    <t>DO_No</t>
  </si>
  <si>
    <t>Qty_Delivered</t>
  </si>
  <si>
    <t>DO0001</t>
  </si>
  <si>
    <t>DO0002</t>
  </si>
  <si>
    <t>DO0003</t>
  </si>
  <si>
    <t>DO0004</t>
  </si>
  <si>
    <t>DO0005</t>
  </si>
  <si>
    <t>DO0006</t>
  </si>
  <si>
    <t>DO0007</t>
  </si>
  <si>
    <t>DO0008</t>
  </si>
  <si>
    <t>DO0009</t>
  </si>
  <si>
    <t>DO0010</t>
  </si>
  <si>
    <t>DO0011</t>
  </si>
  <si>
    <t>DO0012</t>
  </si>
  <si>
    <t>DO0013</t>
  </si>
  <si>
    <t>DO0014</t>
  </si>
  <si>
    <t>DO0015</t>
  </si>
  <si>
    <t>DO0016</t>
  </si>
  <si>
    <t>DO0017</t>
  </si>
  <si>
    <t>DO0018</t>
  </si>
  <si>
    <t>DO0019</t>
  </si>
  <si>
    <t>DO0020</t>
  </si>
  <si>
    <t>DO0021</t>
  </si>
  <si>
    <t>DO0022</t>
  </si>
  <si>
    <t>DO0023</t>
  </si>
  <si>
    <t>DO0024</t>
  </si>
  <si>
    <t>DO0025</t>
  </si>
  <si>
    <t>DO0026</t>
  </si>
  <si>
    <t>DO0027</t>
  </si>
  <si>
    <t>DO0028</t>
  </si>
  <si>
    <t>DO0029</t>
  </si>
  <si>
    <t>DO0030</t>
  </si>
  <si>
    <t>DO0031</t>
  </si>
  <si>
    <t>DO0032</t>
  </si>
  <si>
    <t>DO0033</t>
  </si>
  <si>
    <t>DO0034</t>
  </si>
  <si>
    <t>DO0035</t>
  </si>
  <si>
    <t>DO0036</t>
  </si>
  <si>
    <t>DO0037</t>
  </si>
  <si>
    <t>DO0038</t>
  </si>
  <si>
    <t>DO0039</t>
  </si>
  <si>
    <t>DO0040</t>
  </si>
  <si>
    <t>DO0041</t>
  </si>
  <si>
    <t>DO0042</t>
  </si>
  <si>
    <t>DO0043</t>
  </si>
  <si>
    <t>DO0044</t>
  </si>
  <si>
    <t>DO0045</t>
  </si>
  <si>
    <t>DO0046</t>
  </si>
  <si>
    <t>DO0047</t>
  </si>
  <si>
    <t>DO0048</t>
  </si>
  <si>
    <t>DO0049</t>
  </si>
  <si>
    <t>DO0050</t>
  </si>
  <si>
    <t>DO0051</t>
  </si>
  <si>
    <t>DO0052</t>
  </si>
  <si>
    <t>DO0053</t>
  </si>
  <si>
    <t>DO0054</t>
  </si>
  <si>
    <t>DO0055</t>
  </si>
  <si>
    <t>DO0056</t>
  </si>
  <si>
    <t>DO0057</t>
  </si>
  <si>
    <t>DO0058</t>
  </si>
  <si>
    <t>DO0059</t>
  </si>
  <si>
    <t>DO0060</t>
  </si>
  <si>
    <t>DO0061</t>
  </si>
  <si>
    <t>DO0062</t>
  </si>
  <si>
    <t>DO0063</t>
  </si>
  <si>
    <t>DO0064</t>
  </si>
  <si>
    <t>DO0065</t>
  </si>
  <si>
    <t>DO0066</t>
  </si>
  <si>
    <t>DO0067</t>
  </si>
  <si>
    <t>DO0068</t>
  </si>
  <si>
    <t>DO0069</t>
  </si>
  <si>
    <t>DO0070</t>
  </si>
  <si>
    <t>DO0071</t>
  </si>
  <si>
    <t>DO0072</t>
  </si>
  <si>
    <t>DO0073</t>
  </si>
  <si>
    <t>DO0074</t>
  </si>
  <si>
    <t>DO0075</t>
  </si>
  <si>
    <t>DO0076</t>
  </si>
  <si>
    <t>DO0077</t>
  </si>
  <si>
    <t>DO0078</t>
  </si>
  <si>
    <t>DO0079</t>
  </si>
  <si>
    <t>DO0080</t>
  </si>
  <si>
    <t>DO0081</t>
  </si>
  <si>
    <t>DO0082</t>
  </si>
  <si>
    <t>DO0083</t>
  </si>
  <si>
    <t>DO0084</t>
  </si>
  <si>
    <t>DO0085</t>
  </si>
  <si>
    <t>DO0086</t>
  </si>
  <si>
    <t>DO0087</t>
  </si>
  <si>
    <t>DO0088</t>
  </si>
  <si>
    <t>DO0089</t>
  </si>
  <si>
    <t>DO0090</t>
  </si>
  <si>
    <t>DO0091</t>
  </si>
  <si>
    <t>DO0092</t>
  </si>
  <si>
    <t>DO0093</t>
  </si>
  <si>
    <t>DO0094</t>
  </si>
  <si>
    <t>DO0095</t>
  </si>
  <si>
    <t>DO0096</t>
  </si>
  <si>
    <t>DO0097</t>
  </si>
  <si>
    <t>DO0098</t>
  </si>
  <si>
    <t>DO0099</t>
  </si>
  <si>
    <t>DO0100</t>
  </si>
  <si>
    <t>DO0101</t>
  </si>
  <si>
    <t>DO0102</t>
  </si>
  <si>
    <t>DO0103</t>
  </si>
  <si>
    <t>DO0104</t>
  </si>
  <si>
    <t>DO0105</t>
  </si>
  <si>
    <t>DO0106</t>
  </si>
  <si>
    <t>DO0107</t>
  </si>
  <si>
    <t>DO0108</t>
  </si>
  <si>
    <t>DO0109</t>
  </si>
  <si>
    <t>DO0110</t>
  </si>
  <si>
    <t>DO0111</t>
  </si>
  <si>
    <t>DO0112</t>
  </si>
  <si>
    <t>DO0113</t>
  </si>
  <si>
    <t>DO0114</t>
  </si>
  <si>
    <t>DO0115</t>
  </si>
  <si>
    <t>DO0116</t>
  </si>
  <si>
    <t>DO0117</t>
  </si>
  <si>
    <t>DO0118</t>
  </si>
  <si>
    <t>DO0119</t>
  </si>
  <si>
    <t>DO0120</t>
  </si>
  <si>
    <t>DO0121</t>
  </si>
  <si>
    <t>DO0122</t>
  </si>
  <si>
    <t>DO0123</t>
  </si>
  <si>
    <t>DO0124</t>
  </si>
  <si>
    <t>DO0125</t>
  </si>
  <si>
    <t>DO0126</t>
  </si>
  <si>
    <t>DO0127</t>
  </si>
  <si>
    <t>DO0128</t>
  </si>
  <si>
    <t>DO0129</t>
  </si>
  <si>
    <t>DO0130</t>
  </si>
  <si>
    <t>DO0131</t>
  </si>
  <si>
    <t>DO0132</t>
  </si>
  <si>
    <t>DO0133</t>
  </si>
  <si>
    <t>DO0134</t>
  </si>
  <si>
    <t>DO0135</t>
  </si>
  <si>
    <t>DO0136</t>
  </si>
  <si>
    <t>DO0137</t>
  </si>
  <si>
    <t>DO0138</t>
  </si>
  <si>
    <t>DO0139</t>
  </si>
  <si>
    <t>DO0140</t>
  </si>
  <si>
    <t>DO0141</t>
  </si>
  <si>
    <t>DO0142</t>
  </si>
  <si>
    <t>DO0143</t>
  </si>
  <si>
    <t>DO0144</t>
  </si>
  <si>
    <t>DO0145</t>
  </si>
  <si>
    <t>DO0146</t>
  </si>
  <si>
    <t>DO0147</t>
  </si>
  <si>
    <t>DO0148</t>
  </si>
  <si>
    <t>DO0149</t>
  </si>
  <si>
    <t>DO0150</t>
  </si>
  <si>
    <t>DO0151</t>
  </si>
  <si>
    <t>DO0152</t>
  </si>
  <si>
    <t>DO0153</t>
  </si>
  <si>
    <t>DO0154</t>
  </si>
  <si>
    <t>DO0155</t>
  </si>
  <si>
    <t>DO0156</t>
  </si>
  <si>
    <t>DO0157</t>
  </si>
  <si>
    <t>DO0158</t>
  </si>
  <si>
    <t>DO0159</t>
  </si>
  <si>
    <t>DO0160</t>
  </si>
  <si>
    <t>DO0161</t>
  </si>
  <si>
    <t>DO0162</t>
  </si>
  <si>
    <t>DO0163</t>
  </si>
  <si>
    <t>DO0164</t>
  </si>
  <si>
    <t>DO0165</t>
  </si>
  <si>
    <t>DO0166</t>
  </si>
  <si>
    <t>DO0167</t>
  </si>
  <si>
    <t>DO0168</t>
  </si>
  <si>
    <t>DO0169</t>
  </si>
  <si>
    <t>DO0170</t>
  </si>
  <si>
    <t>DO0171</t>
  </si>
  <si>
    <t>DO0172</t>
  </si>
  <si>
    <t>DO0173</t>
  </si>
  <si>
    <t>DO0174</t>
  </si>
  <si>
    <t>DO0175</t>
  </si>
  <si>
    <t>DO0176</t>
  </si>
  <si>
    <t>DO0177</t>
  </si>
  <si>
    <t>DO0178</t>
  </si>
  <si>
    <t>DO0179</t>
  </si>
  <si>
    <t>DO0180</t>
  </si>
  <si>
    <t>DO0181</t>
  </si>
  <si>
    <t>DO0182</t>
  </si>
  <si>
    <t>DO0183</t>
  </si>
  <si>
    <t>DO0184</t>
  </si>
  <si>
    <t>DO0185</t>
  </si>
  <si>
    <t>DO0186</t>
  </si>
  <si>
    <t>DO0187</t>
  </si>
  <si>
    <t>DO0188</t>
  </si>
  <si>
    <t>DO0189</t>
  </si>
  <si>
    <t>DO0190</t>
  </si>
  <si>
    <t>DO0191</t>
  </si>
  <si>
    <t>DO0192</t>
  </si>
  <si>
    <t>DO0193</t>
  </si>
  <si>
    <t>DO0194</t>
  </si>
  <si>
    <t>DO0195</t>
  </si>
  <si>
    <t>DO0196</t>
  </si>
  <si>
    <t>DO0197</t>
  </si>
  <si>
    <t>DO0198</t>
  </si>
  <si>
    <t>DO0199</t>
  </si>
  <si>
    <t>DO0200</t>
  </si>
  <si>
    <t>DO0201</t>
  </si>
  <si>
    <t>DO0202</t>
  </si>
  <si>
    <t>DO0203</t>
  </si>
  <si>
    <t>DO0204</t>
  </si>
  <si>
    <t>DO0205</t>
  </si>
  <si>
    <t>DO0206</t>
  </si>
  <si>
    <t>DO0207</t>
  </si>
  <si>
    <t>DO0208</t>
  </si>
  <si>
    <t>DO0209</t>
  </si>
  <si>
    <t>DO0210</t>
  </si>
  <si>
    <t>DO0211</t>
  </si>
  <si>
    <t>DO0212</t>
  </si>
  <si>
    <t>DO0213</t>
  </si>
  <si>
    <t>DO0214</t>
  </si>
  <si>
    <t>DO0215</t>
  </si>
  <si>
    <t>DO0216</t>
  </si>
  <si>
    <t>DO0217</t>
  </si>
  <si>
    <t>DO0218</t>
  </si>
  <si>
    <t>DO0219</t>
  </si>
  <si>
    <t>DO0220</t>
  </si>
  <si>
    <t>DO0221</t>
  </si>
  <si>
    <t>DO0222</t>
  </si>
  <si>
    <t>DO0223</t>
  </si>
  <si>
    <t>DO0224</t>
  </si>
  <si>
    <t>DO0225</t>
  </si>
  <si>
    <t>DO0226</t>
  </si>
  <si>
    <t>DO0227</t>
  </si>
  <si>
    <t>DO0228</t>
  </si>
  <si>
    <t>DO0229</t>
  </si>
  <si>
    <t>DO0230</t>
  </si>
  <si>
    <t>DO0231</t>
  </si>
  <si>
    <t>DO0232</t>
  </si>
  <si>
    <t>DO0233</t>
  </si>
  <si>
    <t>DO0234</t>
  </si>
  <si>
    <t>DO0235</t>
  </si>
  <si>
    <t>DO0236</t>
  </si>
  <si>
    <t>DO0237</t>
  </si>
  <si>
    <t>DO0238</t>
  </si>
  <si>
    <t>DO0239</t>
  </si>
  <si>
    <t>DO0240</t>
  </si>
  <si>
    <t>DO0241</t>
  </si>
  <si>
    <t>DO0242</t>
  </si>
  <si>
    <t>DO0243</t>
  </si>
  <si>
    <t>DO0244</t>
  </si>
  <si>
    <t>DO0245</t>
  </si>
  <si>
    <t>DO0246</t>
  </si>
  <si>
    <t>DO0247</t>
  </si>
  <si>
    <t>DO0248</t>
  </si>
  <si>
    <t>DO0249</t>
  </si>
  <si>
    <t>DO0250</t>
  </si>
  <si>
    <t>DO0251</t>
  </si>
  <si>
    <t>DO0252</t>
  </si>
  <si>
    <t>DO0253</t>
  </si>
  <si>
    <t>DO0254</t>
  </si>
  <si>
    <t>DO0255</t>
  </si>
  <si>
    <t>DO0256</t>
  </si>
  <si>
    <t>DO0257</t>
  </si>
  <si>
    <t>DO0258</t>
  </si>
  <si>
    <t>DO0259</t>
  </si>
  <si>
    <t>DO0260</t>
  </si>
  <si>
    <t>DO0261</t>
  </si>
  <si>
    <t>DO0262</t>
  </si>
  <si>
    <t>DO0263</t>
  </si>
  <si>
    <t>DO0264</t>
  </si>
  <si>
    <t>DO0265</t>
  </si>
  <si>
    <t>DO0266</t>
  </si>
  <si>
    <t>DO0267</t>
  </si>
  <si>
    <t>DO0268</t>
  </si>
  <si>
    <t>DO0269</t>
  </si>
  <si>
    <t>DO0270</t>
  </si>
  <si>
    <t>DO0271</t>
  </si>
  <si>
    <t>DO0272</t>
  </si>
  <si>
    <t>DO0273</t>
  </si>
  <si>
    <t>DO0274</t>
  </si>
  <si>
    <t>DO0275</t>
  </si>
  <si>
    <t>DO0276</t>
  </si>
  <si>
    <t>DO0277</t>
  </si>
  <si>
    <t>DO0278</t>
  </si>
  <si>
    <t>DO0279</t>
  </si>
  <si>
    <t>DO0280</t>
  </si>
  <si>
    <t>DO0281</t>
  </si>
  <si>
    <t>DO0282</t>
  </si>
  <si>
    <t>DO0283</t>
  </si>
  <si>
    <t>DO0284</t>
  </si>
  <si>
    <t>DO0285</t>
  </si>
  <si>
    <t>DO0286</t>
  </si>
  <si>
    <t>DO0287</t>
  </si>
  <si>
    <t>DO0288</t>
  </si>
  <si>
    <t>DO0289</t>
  </si>
  <si>
    <t>DO0290</t>
  </si>
  <si>
    <t>DO0291</t>
  </si>
  <si>
    <t>DO0292</t>
  </si>
  <si>
    <t>DO0293</t>
  </si>
  <si>
    <t>DO0294</t>
  </si>
  <si>
    <t>DO0295</t>
  </si>
  <si>
    <t>DO0296</t>
  </si>
  <si>
    <t>DO0297</t>
  </si>
  <si>
    <t>DO0298</t>
  </si>
  <si>
    <t>DO0299</t>
  </si>
  <si>
    <t>DO0300</t>
  </si>
  <si>
    <t>Status</t>
  </si>
  <si>
    <t>Row Labels</t>
  </si>
  <si>
    <t>Grand Total</t>
  </si>
  <si>
    <t>MATCH</t>
  </si>
  <si>
    <t>MISSMATCH</t>
  </si>
  <si>
    <t>Count of InvoiceNo</t>
  </si>
  <si>
    <t>Sum of Total_Amount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</si>
  <si>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</si>
  <si>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</si>
  <si>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</si>
  <si>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</si>
  <si>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</si>
  <si>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</si>
  <si>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</si>
  <si>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</si>
  <si>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</si>
  <si>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</si>
  <si>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</si>
  <si>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</si>
  <si>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</si>
  <si>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Invoice</t>
  </si>
  <si>
    <t>Total Billing</t>
  </si>
  <si>
    <t>Pending Invoice</t>
  </si>
  <si>
    <t>H</t>
  </si>
  <si>
    <t xml:space="preserve">match rate </t>
  </si>
  <si>
    <t>Details for Sum of Total_Amount - InvoiceNo: INV0003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</si>
</sst>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_-[$Rp-421]* #,##0_-;\-[$Rp-421]* #,##0_-;_-[$Rp-421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9" fontId="0" fillId="0" borderId="0" xfId="2" applyNumberFormat="1" applyFont="1"/>
    <xf numFmtId="169" fontId="0" fillId="0" borderId="0" xfId="1" applyNumberFormat="1" applyFont="1"/>
    <xf numFmtId="0" fontId="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E53935"/>
      <color rgb="FF66BB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[Invoice_Verification_Dataset.xlsx]Pivot Status!PivotTable1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Invoice</a:t>
            </a:r>
            <a:r>
              <a:rPr lang="en-US" b="1" baseline="0"/>
              <a:t> Verification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6BB6A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E5393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886473029433263"/>
          <c:y val="0.22115865892814529"/>
          <c:w val="0.42227053941133469"/>
          <c:h val="0.77884134107185465"/>
        </c:manualLayout>
      </c:layout>
      <c:doughnutChart>
        <c:varyColors val="0"/>
        <c:ser>
          <c:idx val="0"/>
          <c:order val="0"/>
          <c:tx>
            <c:strRef>
              <c:f>'Pivot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rgbClr val="66BB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E6-4FE8-A9A8-CE297C70E985}"/>
              </c:ext>
            </c:extLst>
          </c:dPt>
          <c:dPt>
            <c:idx val="1"/>
            <c:bubble3D val="0"/>
            <c:spPr>
              <a:solidFill>
                <a:srgbClr val="E539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E6-4FE8-A9A8-CE297C70E9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Status'!$A$4:$A$6</c:f>
              <c:strCache>
                <c:ptCount val="2"/>
                <c:pt idx="0">
                  <c:v>MATCH</c:v>
                </c:pt>
                <c:pt idx="1">
                  <c:v>MISSMATCH</c:v>
                </c:pt>
              </c:strCache>
            </c:strRef>
          </c:cat>
          <c:val>
            <c:numRef>
              <c:f>'Pivot Status'!$B$4:$B$6</c:f>
              <c:numCache>
                <c:formatCode>General</c:formatCode>
                <c:ptCount val="2"/>
                <c:pt idx="0">
                  <c:v>282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E6-4FE8-A9A8-CE297C70E9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[Invoice_Verification_Dataset.xlsx]Pivot Status!PivotTable4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Billing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Status'!$I$3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Status'!$H$4:$H$16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Status'!$I$4:$I$16</c:f>
              <c:numCache>
                <c:formatCode>General</c:formatCode>
                <c:ptCount val="12"/>
                <c:pt idx="0">
                  <c:v>181475000</c:v>
                </c:pt>
                <c:pt idx="1">
                  <c:v>172075000</c:v>
                </c:pt>
                <c:pt idx="2">
                  <c:v>216350000</c:v>
                </c:pt>
                <c:pt idx="3">
                  <c:v>116875000</c:v>
                </c:pt>
                <c:pt idx="4">
                  <c:v>136075000</c:v>
                </c:pt>
                <c:pt idx="5">
                  <c:v>116025000</c:v>
                </c:pt>
                <c:pt idx="6">
                  <c:v>204700000</c:v>
                </c:pt>
                <c:pt idx="7">
                  <c:v>157500000</c:v>
                </c:pt>
                <c:pt idx="8">
                  <c:v>147425000</c:v>
                </c:pt>
                <c:pt idx="9">
                  <c:v>159175000</c:v>
                </c:pt>
                <c:pt idx="10">
                  <c:v>146700000</c:v>
                </c:pt>
                <c:pt idx="11">
                  <c:v>120700000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D-43E5-8E26-E55BEC000C0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31056"/>
        <c:axId val="134131536"/>
      </c:lineChart>
      <c:catAx>
        <c:axId val="1341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4131536"/>
        <c:crosses val="autoZero"/>
        <c:auto val="1"/>
        <c:lblAlgn val="ctr"/>
        <c:lblOffset val="100"/>
        <c:noMultiLvlLbl val="0"/>
      </c:catAx>
      <c:valAx>
        <c:axId val="1341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shade val="15000"/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4131056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[Invoice_Verification_Dataset.xlsx]Pivot Status!PivotTable2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Invoice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Status'!$F$1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Status'!$E$2:$E$8</c:f>
              <c:strCache>
                <c:ptCount val="6"/>
                <c:pt idx="0">
                  <c:v>INV0001</c:v>
                </c:pt>
                <c:pt idx="1">
                  <c:v>INV0029</c:v>
                </c:pt>
                <c:pt idx="2">
                  <c:v>INV0063</c:v>
                </c:pt>
                <c:pt idx="3">
                  <c:v>INV0183</c:v>
                </c:pt>
                <c:pt idx="4">
                  <c:v>INV0257</c:v>
                </c:pt>
                <c:pt idx="5">
                  <c:v>INV0268</c:v>
                </c:pt>
              </c:strCache>
            </c:strRef>
          </c:cat>
          <c:val>
            <c:numRef>
              <c:f>'Pivot Status'!$F$2:$F$8</c:f>
              <c:numCache>
                <c:formatCode>General</c:formatCode>
                <c:ptCount val="6"/>
                <c:pt idx="0">
                  <c:v>20000000</c:v>
                </c:pt>
                <c:pt idx="1">
                  <c:v>18600000</c:v>
                </c:pt>
                <c:pt idx="2">
                  <c:v>18800000</c:v>
                </c:pt>
                <c:pt idx="3">
                  <c:v>18800000</c:v>
                </c:pt>
                <c:pt idx="4">
                  <c:v>18800000</c:v>
                </c:pt>
                <c:pt idx="5">
                  <c:v>18600000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A-47B9-81ED-1F49D82A6A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138256"/>
        <c:axId val="134139216"/>
      </c:barChart>
      <c:catAx>
        <c:axId val="13413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4139216"/>
        <c:crosses val="autoZero"/>
        <c:auto val="1"/>
        <c:lblAlgn val="ctr"/>
        <c:lblOffset val="100"/>
        <c:noMultiLvlLbl val="0"/>
      </c:catAx>
      <c:valAx>
        <c:axId val="13413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413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16783</xdr:colOff>
      <xdr:row>0</xdr:row>
      <xdr:rowOff>0</xdr:rowOff>
    </xdr:from>
    <xdr:to>
      <xdr:col>17</xdr:col>
      <xdr:colOff>58715</xdr:colOff>
      <xdr:row>43</xdr:row>
      <xdr:rowOff>158749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480E71-B339-C8D2-EB2C-26CE3FB21931}"/>
            </a:ext>
          </a:extLst>
        </xdr:cNvPr>
        <xdr:cNvSpPr/>
      </xdr:nvSpPr>
      <xdr:spPr>
        <a:xfrm>
          <a:off x="16783" y="0"/>
          <a:ext cx="11021779" cy="8013612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590550</xdr:colOff>
      <xdr:row>1</xdr:row>
      <xdr:rowOff>38099</xdr:rowOff>
    </xdr:from>
    <xdr:to>
      <xdr:col>15</xdr:col>
      <xdr:colOff>564252</xdr:colOff>
      <xdr:row>4</xdr:row>
      <xdr:rowOff>98273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6D83D4-640B-80CD-B37D-3254CFD127B6}"/>
            </a:ext>
          </a:extLst>
        </xdr:cNvPr>
        <xdr:cNvSpPr txBox="1"/>
      </xdr:nvSpPr>
      <xdr:spPr>
        <a:xfrm>
          <a:off x="590550" y="219528"/>
          <a:ext cx="9725488" cy="604459"/>
        </a:xfrm>
        <a:prstGeom prst="round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INVOICE VERIFICATION AND BILLING DASHBOARD</a:t>
          </a:r>
        </a:p>
        <a:p>
          <a:pPr algn="ctr"/>
          <a:r>
            <a:rPr lang="en-US" sz="1200" b="0" i="1">
              <a:solidFill>
                <a:schemeClr val="bg1"/>
              </a:solidFill>
              <a:latin typeface="+mj-lt"/>
              <a:cs typeface="Aharoni" panose="02010803020104030203" pitchFamily="2" charset="-79"/>
            </a:rPr>
            <a:t>Monitor Invoice verification Status and Billing Performance</a:t>
          </a:r>
        </a:p>
        <a:p>
          <a:pPr algn="ctr"/>
          <a:endParaRPr lang="id-ID" sz="2000" b="1">
            <a:solidFill>
              <a:schemeClr val="bg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1</xdr:col>
      <xdr:colOff>33338</xdr:colOff>
      <xdr:row>4</xdr:row>
      <xdr:rowOff>166688</xdr:rowOff>
    </xdr:from>
    <xdr:to>
      <xdr:col>4</xdr:col>
      <xdr:colOff>290513</xdr:colOff>
      <xdr:row>10</xdr:row>
      <xdr:rowOff>171450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1FBA2E0-635C-4F06-6243-B44E8098EBFF}"/>
            </a:ext>
          </a:extLst>
        </xdr:cNvPr>
        <xdr:cNvSpPr/>
      </xdr:nvSpPr>
      <xdr:spPr>
        <a:xfrm>
          <a:off x="677676" y="895070"/>
          <a:ext cx="2190190" cy="109733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633413</xdr:colOff>
      <xdr:row>6</xdr:row>
      <xdr:rowOff>28574</xdr:rowOff>
    </xdr:from>
    <xdr:to>
      <xdr:col>4</xdr:col>
      <xdr:colOff>242888</xdr:colOff>
      <xdr:row>10</xdr:row>
      <xdr:rowOff>136070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5636A9C-542C-F86E-B53A-AA242EA7F225}"/>
            </a:ext>
          </a:extLst>
        </xdr:cNvPr>
        <xdr:cNvSpPr txBox="1"/>
      </xdr:nvSpPr>
      <xdr:spPr>
        <a:xfrm>
          <a:off x="1283532" y="1117145"/>
          <a:ext cx="1559832" cy="83321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tx2">
                  <a:lumMod val="75000"/>
                </a:schemeClr>
              </a:solidFill>
            </a:rPr>
            <a:t>TOTAL INVOICE</a:t>
          </a:r>
          <a:endParaRPr lang="en-US" sz="1400" b="1" i="0" u="none" strike="noStrike">
            <a:solidFill>
              <a:schemeClr val="tx2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6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800" b="1" i="0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300</a:t>
          </a:r>
          <a:r>
            <a:rPr lang="id-ID" sz="1800" b="1">
              <a:effectLst/>
            </a:rPr>
            <a:t> </a:t>
          </a:r>
          <a:endParaRPr lang="en-US" sz="1800" b="1">
            <a:solidFill>
              <a:schemeClr val="accent1">
                <a:lumMod val="50000"/>
              </a:schemeClr>
            </a:solidFill>
            <a:effectLst/>
          </a:endParaRPr>
        </a:p>
        <a:p>
          <a:pPr algn="ctr"/>
          <a:r>
            <a:rPr lang="en-US" sz="1000" b="0">
              <a:solidFill>
                <a:schemeClr val="accent1">
                  <a:lumMod val="50000"/>
                </a:schemeClr>
              </a:solidFill>
              <a:effectLst/>
            </a:rPr>
            <a:t>invoice</a:t>
          </a:r>
          <a:endParaRPr lang="en-US" sz="1000" b="0">
            <a:effectLst/>
          </a:endParaRPr>
        </a:p>
      </xdr:txBody>
    </xdr:sp>
    <xdr:clientData/>
  </xdr:twoCellAnchor>
  <xdr:twoCellAnchor editAs="oneCell">
    <xdr:from>
      <xdr:col>1</xdr:col>
      <xdr:colOff>35590</xdr:colOff>
      <xdr:row>6</xdr:row>
      <xdr:rowOff>18717</xdr:rowOff>
    </xdr:from>
    <xdr:to>
      <xdr:col>2</xdr:col>
      <xdr:colOff>64165</xdr:colOff>
      <xdr:row>9</xdr:row>
      <xdr:rowOff>151993</xdr:rowOff>
    </xdr:to>
    <xdr:pic>
      <xdr:nvPicPr>
        <xdr:cNvPr id="10" name="Graphic 9" descr="Clipboard with solid fill">
          <a:extLst>
            <a:ext uri="{FF2B5EF4-FFF2-40B4-BE49-F238E27FC236}">
              <a16:creationId xmlns:a16="http://schemas.microsoft.com/office/drawing/2014/main" id="{172ADC3F-046B-FF43-033C-4975CA1A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1666" y="1104124"/>
          <a:ext cx="674650" cy="675980"/>
        </a:xfrm>
        <a:prstGeom prst="rect">
          <a:avLst/>
        </a:prstGeom>
      </xdr:spPr>
    </xdr:pic>
    <xdr:clientData/>
  </xdr:twoCellAnchor>
  <xdr:twoCellAnchor>
    <xdr:from>
      <xdr:col>5</xdr:col>
      <xdr:colOff>47172</xdr:colOff>
      <xdr:row>5</xdr:row>
      <xdr:rowOff>11865</xdr:rowOff>
    </xdr:from>
    <xdr:to>
      <xdr:col>8</xdr:col>
      <xdr:colOff>304348</xdr:colOff>
      <xdr:row>11</xdr:row>
      <xdr:rowOff>16628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345F830-5E78-46BB-BDA1-030B9346FD95}"/>
            </a:ext>
          </a:extLst>
        </xdr:cNvPr>
        <xdr:cNvSpPr/>
      </xdr:nvSpPr>
      <xdr:spPr>
        <a:xfrm>
          <a:off x="3277550" y="916371"/>
          <a:ext cx="2195403" cy="109017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554357</xdr:colOff>
      <xdr:row>6</xdr:row>
      <xdr:rowOff>26616</xdr:rowOff>
    </xdr:from>
    <xdr:to>
      <xdr:col>8</xdr:col>
      <xdr:colOff>384593</xdr:colOff>
      <xdr:row>10</xdr:row>
      <xdr:rowOff>46077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A5BA92-1DE1-4BA4-A503-85F80D982E00}"/>
            </a:ext>
          </a:extLst>
        </xdr:cNvPr>
        <xdr:cNvSpPr txBox="1"/>
      </xdr:nvSpPr>
      <xdr:spPr>
        <a:xfrm>
          <a:off x="3797393" y="1115187"/>
          <a:ext cx="1776057" cy="745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accent3">
                  <a:lumMod val="50000"/>
                </a:schemeClr>
              </a:solidFill>
            </a:rPr>
            <a:t>TOTAL BILLING</a:t>
          </a:r>
          <a:r>
            <a:rPr lang="id-ID" sz="1400" b="0" i="0" u="none" strike="noStrike">
              <a:solidFill>
                <a:schemeClr val="accent3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 b="0" i="0" u="none" strike="noStrike">
            <a:solidFill>
              <a:schemeClr val="accent3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id-ID" sz="1500" b="1" i="0" u="none" strike="noStrike">
              <a:solidFill>
                <a:schemeClr val="accent3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Rp     1,875,075,000</a:t>
          </a:r>
          <a:endParaRPr lang="en-US" sz="1500" b="1" i="0" u="none" strike="noStrike">
            <a:solidFill>
              <a:schemeClr val="accent3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000" b="0" i="0" u="none" strike="noStrike">
              <a:solidFill>
                <a:schemeClr val="accent3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 Amount</a:t>
          </a:r>
          <a:r>
            <a:rPr lang="id-ID" sz="1000" b="0" i="0" u="none" strike="noStrike">
              <a:solidFill>
                <a:schemeClr val="accent3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d-ID" sz="1000" b="0">
              <a:solidFill>
                <a:schemeClr val="accent3">
                  <a:lumMod val="50000"/>
                </a:schemeClr>
              </a:solidFill>
              <a:effectLst/>
            </a:rPr>
            <a:t> </a:t>
          </a:r>
          <a:endParaRPr lang="en-US" sz="1000" b="0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636894</xdr:colOff>
      <xdr:row>5</xdr:row>
      <xdr:rowOff>163408</xdr:rowOff>
    </xdr:from>
    <xdr:to>
      <xdr:col>6</xdr:col>
      <xdr:colOff>33411</xdr:colOff>
      <xdr:row>9</xdr:row>
      <xdr:rowOff>124689</xdr:rowOff>
    </xdr:to>
    <xdr:pic>
      <xdr:nvPicPr>
        <xdr:cNvPr id="15" name="Graphic 14" descr="Dollar with solid fill">
          <a:extLst>
            <a:ext uri="{FF2B5EF4-FFF2-40B4-BE49-F238E27FC236}">
              <a16:creationId xmlns:a16="http://schemas.microsoft.com/office/drawing/2014/main" id="{3FC71D77-D84B-295C-4729-684F7DC38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21196" y="1067914"/>
          <a:ext cx="688668" cy="684886"/>
        </a:xfrm>
        <a:prstGeom prst="rect">
          <a:avLst/>
        </a:prstGeom>
      </xdr:spPr>
    </xdr:pic>
    <xdr:clientData/>
  </xdr:twoCellAnchor>
  <xdr:twoCellAnchor>
    <xdr:from>
      <xdr:col>9</xdr:col>
      <xdr:colOff>15062</xdr:colOff>
      <xdr:row>5</xdr:row>
      <xdr:rowOff>11654</xdr:rowOff>
    </xdr:from>
    <xdr:to>
      <xdr:col>12</xdr:col>
      <xdr:colOff>272237</xdr:colOff>
      <xdr:row>11</xdr:row>
      <xdr:rowOff>16416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0B33230-47F0-4D65-B4CC-FEBE955D2931}"/>
            </a:ext>
          </a:extLst>
        </xdr:cNvPr>
        <xdr:cNvSpPr/>
      </xdr:nvSpPr>
      <xdr:spPr>
        <a:xfrm>
          <a:off x="5852526" y="918797"/>
          <a:ext cx="2202997" cy="1093333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539170</xdr:colOff>
      <xdr:row>5</xdr:row>
      <xdr:rowOff>20792</xdr:rowOff>
    </xdr:from>
    <xdr:to>
      <xdr:col>16</xdr:col>
      <xdr:colOff>149728</xdr:colOff>
      <xdr:row>11</xdr:row>
      <xdr:rowOff>25554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3EEFE21-22BD-4969-9683-ECAF76D25838}"/>
            </a:ext>
          </a:extLst>
        </xdr:cNvPr>
        <xdr:cNvSpPr/>
      </xdr:nvSpPr>
      <xdr:spPr>
        <a:xfrm>
          <a:off x="8328793" y="917839"/>
          <a:ext cx="2207099" cy="108121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471123</xdr:colOff>
      <xdr:row>6</xdr:row>
      <xdr:rowOff>48438</xdr:rowOff>
    </xdr:from>
    <xdr:to>
      <xdr:col>12</xdr:col>
      <xdr:colOff>301358</xdr:colOff>
      <xdr:row>10</xdr:row>
      <xdr:rowOff>67899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119C737-E468-4F68-BDF3-0123C35BF7F1}"/>
            </a:ext>
          </a:extLst>
        </xdr:cNvPr>
        <xdr:cNvSpPr txBox="1"/>
      </xdr:nvSpPr>
      <xdr:spPr>
        <a:xfrm>
          <a:off x="6308587" y="1137009"/>
          <a:ext cx="1776057" cy="745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PENDING</a:t>
          </a:r>
          <a:r>
            <a:rPr lang="en-US" sz="1400" b="1" i="0" u="none" strike="noStrike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INVOICE</a:t>
          </a:r>
          <a:r>
            <a:rPr lang="id-ID" sz="1400" b="0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 b="0" i="0" u="none" strike="noStrike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</a:p>
        <a:p>
          <a:pPr algn="ctr"/>
          <a:r>
            <a:rPr lang="en-US" sz="1000" b="0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Invoice</a:t>
          </a:r>
          <a:r>
            <a:rPr lang="en-US" sz="1000" b="0" i="0" u="none" strike="noStrike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Missmatch</a:t>
          </a:r>
          <a:endParaRPr lang="en-US" sz="1000" b="0" i="0" u="none" strike="noStrike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8</xdr:col>
      <xdr:colOff>641539</xdr:colOff>
      <xdr:row>6</xdr:row>
      <xdr:rowOff>21096</xdr:rowOff>
    </xdr:from>
    <xdr:to>
      <xdr:col>9</xdr:col>
      <xdr:colOff>582575</xdr:colOff>
      <xdr:row>10</xdr:row>
      <xdr:rowOff>46043</xdr:rowOff>
    </xdr:to>
    <xdr:pic>
      <xdr:nvPicPr>
        <xdr:cNvPr id="20" name="Graphic 19" descr="Exclamation mark with solid fill">
          <a:extLst>
            <a:ext uri="{FF2B5EF4-FFF2-40B4-BE49-F238E27FC236}">
              <a16:creationId xmlns:a16="http://schemas.microsoft.com/office/drawing/2014/main" id="{AB1EA3C8-45A7-0610-4404-60EEA3CDE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810144" y="1106503"/>
          <a:ext cx="587112" cy="748552"/>
        </a:xfrm>
        <a:prstGeom prst="rect">
          <a:avLst/>
        </a:prstGeom>
      </xdr:spPr>
    </xdr:pic>
    <xdr:clientData/>
  </xdr:twoCellAnchor>
  <xdr:twoCellAnchor>
    <xdr:from>
      <xdr:col>13</xdr:col>
      <xdr:colOff>431364</xdr:colOff>
      <xdr:row>6</xdr:row>
      <xdr:rowOff>54676</xdr:rowOff>
    </xdr:from>
    <xdr:to>
      <xdr:col>16</xdr:col>
      <xdr:colOff>261600</xdr:colOff>
      <xdr:row>10</xdr:row>
      <xdr:rowOff>74137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869AF4A-E56E-46D8-9E0B-734C6C351E89}"/>
            </a:ext>
          </a:extLst>
        </xdr:cNvPr>
        <xdr:cNvSpPr txBox="1"/>
      </xdr:nvSpPr>
      <xdr:spPr>
        <a:xfrm>
          <a:off x="8830347" y="1140083"/>
          <a:ext cx="1768462" cy="743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MATCH RATE</a:t>
          </a:r>
          <a:r>
            <a:rPr lang="id-ID" sz="14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 b="0" i="0" u="none" strike="noStrike">
            <a:solidFill>
              <a:schemeClr val="accent6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8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94%</a:t>
          </a:r>
        </a:p>
        <a:p>
          <a:pPr algn="ctr"/>
          <a:r>
            <a:rPr lang="en-US" sz="10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282 of 300 Invoice</a:t>
          </a:r>
        </a:p>
      </xdr:txBody>
    </xdr:sp>
    <xdr:clientData/>
  </xdr:twoCellAnchor>
  <xdr:twoCellAnchor editAs="oneCell">
    <xdr:from>
      <xdr:col>12</xdr:col>
      <xdr:colOff>581580</xdr:colOff>
      <xdr:row>5</xdr:row>
      <xdr:rowOff>180559</xdr:rowOff>
    </xdr:from>
    <xdr:to>
      <xdr:col>14</xdr:col>
      <xdr:colOff>40152</xdr:colOff>
      <xdr:row>10</xdr:row>
      <xdr:rowOff>29079</xdr:rowOff>
    </xdr:to>
    <xdr:pic>
      <xdr:nvPicPr>
        <xdr:cNvPr id="23" name="Graphic 22" descr="Bar chart with solid fill">
          <a:extLst>
            <a:ext uri="{FF2B5EF4-FFF2-40B4-BE49-F238E27FC236}">
              <a16:creationId xmlns:a16="http://schemas.microsoft.com/office/drawing/2014/main" id="{0C1F3A3B-D689-D9CA-C456-C624207A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334487" y="1085065"/>
          <a:ext cx="750723" cy="753026"/>
        </a:xfrm>
        <a:prstGeom prst="rect">
          <a:avLst/>
        </a:prstGeom>
      </xdr:spPr>
    </xdr:pic>
    <xdr:clientData/>
  </xdr:twoCellAnchor>
  <xdr:twoCellAnchor>
    <xdr:from>
      <xdr:col>1</xdr:col>
      <xdr:colOff>68550</xdr:colOff>
      <xdr:row>12</xdr:row>
      <xdr:rowOff>31405</xdr:rowOff>
    </xdr:from>
    <xdr:to>
      <xdr:col>7</xdr:col>
      <xdr:colOff>445190</xdr:colOff>
      <xdr:row>24</xdr:row>
      <xdr:rowOff>162201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4B72ACA-FA73-4EFD-B6F9-10CBF5DF0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273464</xdr:colOff>
      <xdr:row>12</xdr:row>
      <xdr:rowOff>80965</xdr:rowOff>
    </xdr:from>
    <xdr:to>
      <xdr:col>15</xdr:col>
      <xdr:colOff>108281</xdr:colOff>
      <xdr:row>24</xdr:row>
      <xdr:rowOff>170281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2B4C5DE-2804-4BE1-9A1B-D4F11A75C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457694</xdr:colOff>
      <xdr:row>26</xdr:row>
      <xdr:rowOff>22977</xdr:rowOff>
    </xdr:from>
    <xdr:to>
      <xdr:col>11</xdr:col>
      <xdr:colOff>631750</xdr:colOff>
      <xdr:row>39</xdr:row>
      <xdr:rowOff>106379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5B21281-099B-4FBF-BF97-3B5D591AB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280531</xdr:colOff>
      <xdr:row>28</xdr:row>
      <xdr:rowOff>78287</xdr:rowOff>
    </xdr:from>
    <xdr:to>
      <xdr:col>16</xdr:col>
      <xdr:colOff>326198</xdr:colOff>
      <xdr:row>36</xdr:row>
      <xdr:rowOff>32621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D0DC547-1E80-362B-6244-E36CEB0E4640}"/>
            </a:ext>
          </a:extLst>
        </xdr:cNvPr>
        <xdr:cNvSpPr txBox="1"/>
      </xdr:nvSpPr>
      <xdr:spPr>
        <a:xfrm>
          <a:off x="8031010" y="5193082"/>
          <a:ext cx="2629161" cy="1415703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4">
                  <a:lumMod val="50000"/>
                </a:schemeClr>
              </a:solidFill>
            </a:rPr>
            <a:t>INSIGHT</a:t>
          </a:r>
        </a:p>
        <a:p>
          <a:r>
            <a:rPr lang="en-US" sz="1400">
              <a:solidFill>
                <a:schemeClr val="accent4">
                  <a:lumMod val="50000"/>
                </a:schemeClr>
              </a:solidFill>
            </a:rPr>
            <a:t>Top</a:t>
          </a:r>
          <a:r>
            <a:rPr lang="en-US" sz="1400" baseline="0">
              <a:solidFill>
                <a:schemeClr val="accent4">
                  <a:lumMod val="50000"/>
                </a:schemeClr>
              </a:solidFill>
            </a:rPr>
            <a:t> Invoice Value is </a:t>
          </a:r>
        </a:p>
        <a:p>
          <a:r>
            <a:rPr lang="en-US" sz="1400" b="1" baseline="0">
              <a:solidFill>
                <a:schemeClr val="accent4">
                  <a:lumMod val="50000"/>
                </a:schemeClr>
              </a:solidFill>
            </a:rPr>
            <a:t>INV0001</a:t>
          </a:r>
        </a:p>
        <a:p>
          <a:r>
            <a:rPr lang="en-US" sz="1400" baseline="0">
              <a:solidFill>
                <a:schemeClr val="accent4">
                  <a:lumMod val="50000"/>
                </a:schemeClr>
              </a:solidFill>
            </a:rPr>
            <a:t>With total amount </a:t>
          </a:r>
        </a:p>
        <a:p>
          <a:r>
            <a:rPr lang="en-US" sz="1400" b="1" baseline="0">
              <a:solidFill>
                <a:schemeClr val="accent4">
                  <a:lumMod val="50000"/>
                </a:schemeClr>
              </a:solidFill>
            </a:rPr>
            <a:t>2000000</a:t>
          </a:r>
        </a:p>
        <a:p>
          <a:endParaRPr lang="id-ID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0.38963</cdr:x>
      <cdr:y>0.47066</cdr:y>
    </cdr:from>
    <cdr:to>
      <cdr:x>0.61219</cdr:x>
      <cdr:y>0.7157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5C2A062-E29B-3760-329E-AC37F61ABF4B}"/>
            </a:ext>
          </a:extLst>
        </cdr:cNvPr>
        <cdr:cNvSpPr txBox="1"/>
      </cdr:nvSpPr>
      <cdr:spPr>
        <a:xfrm xmlns:a="http://schemas.openxmlformats.org/drawingml/2006/main">
          <a:off x="1658188" y="1083393"/>
          <a:ext cx="947179" cy="564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kern="1200"/>
            <a:t>300</a:t>
          </a:r>
        </a:p>
        <a:p xmlns:a="http://schemas.openxmlformats.org/drawingml/2006/main">
          <a:pPr algn="ctr"/>
          <a:r>
            <a:rPr lang="en-US" sz="1000" kern="1200"/>
            <a:t>Total</a:t>
          </a:r>
          <a:r>
            <a:rPr lang="en-US" sz="1000" kern="1200" baseline="0"/>
            <a:t> Invoice</a:t>
          </a:r>
          <a:endParaRPr lang="id-ID" sz="10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llah Nur Fitriyanah" refreshedDate="46175.440648148149" createdVersion="8" refreshedVersion="8" minRefreshableVersion="3" recordCount="300" xr:uid="{07049F2A-3D3E-4D52-9E6C-D305FB176F11}">
  <cacheSource type="worksheet">
    <worksheetSource ref="A1:D301" sheet="Verification"/>
  </cacheSource>
  <cacheFields count="4">
    <cacheField name="InvoiceNo" numFmtId="0">
      <sharedItems count="300">
        <s v="INV0001"/>
        <s v="INV0002"/>
        <s v="INV0003"/>
        <s v="INV0004"/>
        <s v="INV0005"/>
        <s v="INV0006"/>
        <s v="INV0007"/>
        <s v="INV0008"/>
        <s v="INV0009"/>
        <s v="INV0010"/>
        <s v="INV0011"/>
        <s v="INV0012"/>
        <s v="INV0013"/>
        <s v="INV0014"/>
        <s v="INV0015"/>
        <s v="INV0016"/>
        <s v="INV0017"/>
        <s v="INV0018"/>
        <s v="INV0019"/>
        <s v="INV0020"/>
        <s v="INV0021"/>
        <s v="INV0022"/>
        <s v="INV0023"/>
        <s v="INV0024"/>
        <s v="INV0025"/>
        <s v="INV0026"/>
        <s v="INV0027"/>
        <s v="INV0028"/>
        <s v="INV0029"/>
        <s v="INV0030"/>
        <s v="INV0031"/>
        <s v="INV0032"/>
        <s v="INV0033"/>
        <s v="INV0034"/>
        <s v="INV0035"/>
        <s v="INV0036"/>
        <s v="INV0037"/>
        <s v="INV0038"/>
        <s v="INV0039"/>
        <s v="INV0040"/>
        <s v="INV0041"/>
        <s v="INV0042"/>
        <s v="INV0043"/>
        <s v="INV0044"/>
        <s v="INV0045"/>
        <s v="INV0046"/>
        <s v="INV0047"/>
        <s v="INV0048"/>
        <s v="INV0049"/>
        <s v="INV0050"/>
        <s v="INV0051"/>
        <s v="INV0052"/>
        <s v="INV0053"/>
        <s v="INV0054"/>
        <s v="INV0055"/>
        <s v="INV0056"/>
        <s v="INV0057"/>
        <s v="INV0058"/>
        <s v="INV0059"/>
        <s v="INV0060"/>
        <s v="INV0061"/>
        <s v="INV0062"/>
        <s v="INV0063"/>
        <s v="INV0064"/>
        <s v="INV0065"/>
        <s v="INV0066"/>
        <s v="INV0067"/>
        <s v="INV0068"/>
        <s v="INV0069"/>
        <s v="INV0070"/>
        <s v="INV0071"/>
        <s v="INV0072"/>
        <s v="INV0073"/>
        <s v="INV0074"/>
        <s v="INV0075"/>
        <s v="INV0076"/>
        <s v="INV0077"/>
        <s v="INV0078"/>
        <s v="INV0079"/>
        <s v="INV0080"/>
        <s v="INV0081"/>
        <s v="INV0082"/>
        <s v="INV0083"/>
        <s v="INV0084"/>
        <s v="INV0085"/>
        <s v="INV0086"/>
        <s v="INV0087"/>
        <s v="INV0088"/>
        <s v="INV0089"/>
        <s v="INV0090"/>
        <s v="INV0091"/>
        <s v="INV0092"/>
        <s v="INV0093"/>
        <s v="INV0094"/>
        <s v="INV0095"/>
        <s v="INV0096"/>
        <s v="INV0097"/>
        <s v="INV0098"/>
        <s v="INV0099"/>
        <s v="INV0100"/>
        <s v="INV0101"/>
        <s v="INV0102"/>
        <s v="INV0103"/>
        <s v="INV0104"/>
        <s v="INV0105"/>
        <s v="INV0106"/>
        <s v="INV0107"/>
        <s v="INV0108"/>
        <s v="INV0109"/>
        <s v="INV0110"/>
        <s v="INV0111"/>
        <s v="INV0112"/>
        <s v="INV0113"/>
        <s v="INV0114"/>
        <s v="INV0115"/>
        <s v="INV0116"/>
        <s v="INV0117"/>
        <s v="INV0118"/>
        <s v="INV0119"/>
        <s v="INV0120"/>
        <s v="INV0121"/>
        <s v="INV0122"/>
        <s v="INV0123"/>
        <s v="INV0124"/>
        <s v="INV0125"/>
        <s v="INV0126"/>
        <s v="INV0127"/>
        <s v="INV0128"/>
        <s v="INV0129"/>
        <s v="INV0130"/>
        <s v="INV0131"/>
        <s v="INV0132"/>
        <s v="INV0133"/>
        <s v="INV0134"/>
        <s v="INV0135"/>
        <s v="INV0136"/>
        <s v="INV0137"/>
        <s v="INV0138"/>
        <s v="INV0139"/>
        <s v="INV0140"/>
        <s v="INV0141"/>
        <s v="INV0142"/>
        <s v="INV0143"/>
        <s v="INV0144"/>
        <s v="INV0145"/>
        <s v="INV0146"/>
        <s v="INV0147"/>
        <s v="INV0148"/>
        <s v="INV0149"/>
        <s v="INV0150"/>
        <s v="INV0151"/>
        <s v="INV0152"/>
        <s v="INV0153"/>
        <s v="INV0154"/>
        <s v="INV0155"/>
        <s v="INV0156"/>
        <s v="INV0157"/>
        <s v="INV0158"/>
        <s v="INV0159"/>
        <s v="INV0160"/>
        <s v="INV0161"/>
        <s v="INV0162"/>
        <s v="INV0163"/>
        <s v="INV0164"/>
        <s v="INV0165"/>
        <s v="INV0166"/>
        <s v="INV0167"/>
        <s v="INV0168"/>
        <s v="INV0169"/>
        <s v="INV0170"/>
        <s v="INV0171"/>
        <s v="INV0172"/>
        <s v="INV0173"/>
        <s v="INV0174"/>
        <s v="INV0175"/>
        <s v="INV0176"/>
        <s v="INV0177"/>
        <s v="INV0178"/>
        <s v="INV0179"/>
        <s v="INV0180"/>
        <s v="INV0181"/>
        <s v="INV0182"/>
        <s v="INV0183"/>
        <s v="INV0184"/>
        <s v="INV0185"/>
        <s v="INV0186"/>
        <s v="INV0187"/>
        <s v="INV0188"/>
        <s v="INV0189"/>
        <s v="INV0190"/>
        <s v="INV0191"/>
        <s v="INV0192"/>
        <s v="INV0193"/>
        <s v="INV0194"/>
        <s v="INV0195"/>
        <s v="INV0196"/>
        <s v="INV0197"/>
        <s v="INV0198"/>
        <s v="INV0199"/>
        <s v="INV0200"/>
        <s v="INV0201"/>
        <s v="INV0202"/>
        <s v="INV0203"/>
        <s v="INV0204"/>
        <s v="INV0205"/>
        <s v="INV0206"/>
        <s v="INV0207"/>
        <s v="INV0208"/>
        <s v="INV0209"/>
        <s v="INV0210"/>
        <s v="INV0211"/>
        <s v="INV0212"/>
        <s v="INV0213"/>
        <s v="INV0214"/>
        <s v="INV0215"/>
        <s v="INV0216"/>
        <s v="INV0217"/>
        <s v="INV0218"/>
        <s v="INV0219"/>
        <s v="INV0220"/>
        <s v="INV0221"/>
        <s v="INV0222"/>
        <s v="INV0223"/>
        <s v="INV0224"/>
        <s v="INV0225"/>
        <s v="INV0226"/>
        <s v="INV0227"/>
        <s v="INV0228"/>
        <s v="INV0229"/>
        <s v="INV0230"/>
        <s v="INV0231"/>
        <s v="INV0232"/>
        <s v="INV0233"/>
        <s v="INV0234"/>
        <s v="INV0235"/>
        <s v="INV0236"/>
        <s v="INV0237"/>
        <s v="INV0238"/>
        <s v="INV0239"/>
        <s v="INV0240"/>
        <s v="INV0241"/>
        <s v="INV0242"/>
        <s v="INV0243"/>
        <s v="INV0244"/>
        <s v="INV0245"/>
        <s v="INV0246"/>
        <s v="INV0247"/>
        <s v="INV0248"/>
        <s v="INV0249"/>
        <s v="INV0250"/>
        <s v="INV0251"/>
        <s v="INV0252"/>
        <s v="INV0253"/>
        <s v="INV0254"/>
        <s v="INV0255"/>
        <s v="INV0256"/>
        <s v="INV0257"/>
        <s v="INV0258"/>
        <s v="INV0259"/>
        <s v="INV0260"/>
        <s v="INV0261"/>
        <s v="INV0262"/>
        <s v="INV0263"/>
        <s v="INV0264"/>
        <s v="INV0265"/>
        <s v="INV0266"/>
        <s v="INV0267"/>
        <s v="INV0268"/>
        <s v="INV0269"/>
        <s v="INV0270"/>
        <s v="INV0271"/>
        <s v="INV0272"/>
        <s v="INV0273"/>
        <s v="INV0274"/>
        <s v="INV0275"/>
        <s v="INV0276"/>
        <s v="INV0277"/>
        <s v="INV0278"/>
        <s v="INV0279"/>
        <s v="INV0280"/>
        <s v="INV0281"/>
        <s v="INV0282"/>
        <s v="INV0283"/>
        <s v="INV0284"/>
        <s v="INV0285"/>
        <s v="INV0286"/>
        <s v="INV0287"/>
        <s v="INV0288"/>
        <s v="INV0289"/>
        <s v="INV0290"/>
        <s v="INV0291"/>
        <s v="INV0292"/>
        <s v="INV0293"/>
        <s v="INV0294"/>
        <s v="INV0295"/>
        <s v="INV0296"/>
        <s v="INV0297"/>
        <s v="INV0298"/>
        <s v="INV0299"/>
        <s v="INV0300"/>
      </sharedItems>
    </cacheField>
    <cacheField name="Qty_Inv" numFmtId="0">
      <sharedItems containsSemiMixedTypes="0" containsString="0" containsNumber="1" containsInteger="1" minValue="5" maxValue="100"/>
    </cacheField>
    <cacheField name="Qty_Delivered" numFmtId="0">
      <sharedItems containsSemiMixedTypes="0" containsString="0" containsNumber="1" containsInteger="1" minValue="4" maxValue="100"/>
    </cacheField>
    <cacheField name="Status" numFmtId="0">
      <sharedItems count="2">
        <s v="MATCH"/>
        <s v="MISSMAT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llah Nur Fitriyanah" refreshedDate="46175.443134837966" createdVersion="8" refreshedVersion="8" minRefreshableVersion="3" recordCount="301" xr:uid="{6359C4B5-9014-4DEF-BD15-4F3004DAAA08}">
  <cacheSource type="worksheet">
    <worksheetSource ref="A1:G1048576" sheet="Invoice_Data"/>
  </cacheSource>
  <cacheFields count="6">
    <cacheField name="InvoiceNo" numFmtId="0">
      <sharedItems containsBlank="1" count="301">
        <s v="INV0001"/>
        <s v="INV0002"/>
        <s v="INV0003"/>
        <s v="INV0004"/>
        <s v="INV0005"/>
        <s v="INV0006"/>
        <s v="INV0007"/>
        <s v="INV0008"/>
        <s v="INV0009"/>
        <s v="INV0010"/>
        <s v="INV0011"/>
        <s v="INV0012"/>
        <s v="INV0013"/>
        <s v="INV0014"/>
        <s v="INV0015"/>
        <s v="INV0016"/>
        <s v="INV0017"/>
        <s v="INV0018"/>
        <s v="INV0019"/>
        <s v="INV0020"/>
        <s v="INV0021"/>
        <s v="INV0022"/>
        <s v="INV0023"/>
        <s v="INV0024"/>
        <s v="INV0025"/>
        <s v="INV0026"/>
        <s v="INV0027"/>
        <s v="INV0028"/>
        <s v="INV0029"/>
        <s v="INV0030"/>
        <s v="INV0031"/>
        <s v="INV0032"/>
        <s v="INV0033"/>
        <s v="INV0034"/>
        <s v="INV0035"/>
        <s v="INV0036"/>
        <s v="INV0037"/>
        <s v="INV0038"/>
        <s v="INV0039"/>
        <s v="INV0040"/>
        <s v="INV0041"/>
        <s v="INV0042"/>
        <s v="INV0043"/>
        <s v="INV0044"/>
        <s v="INV0045"/>
        <s v="INV0046"/>
        <s v="INV0047"/>
        <s v="INV0048"/>
        <s v="INV0049"/>
        <s v="INV0050"/>
        <s v="INV0051"/>
        <s v="INV0052"/>
        <s v="INV0053"/>
        <s v="INV0054"/>
        <s v="INV0055"/>
        <s v="INV0056"/>
        <s v="INV0057"/>
        <s v="INV0058"/>
        <s v="INV0059"/>
        <s v="INV0060"/>
        <s v="INV0061"/>
        <s v="INV0062"/>
        <s v="INV0063"/>
        <s v="INV0064"/>
        <s v="INV0065"/>
        <s v="INV0066"/>
        <s v="INV0067"/>
        <s v="INV0068"/>
        <s v="INV0069"/>
        <s v="INV0070"/>
        <s v="INV0071"/>
        <s v="INV0072"/>
        <s v="INV0073"/>
        <s v="INV0074"/>
        <s v="INV0075"/>
        <s v="INV0076"/>
        <s v="INV0077"/>
        <s v="INV0078"/>
        <s v="INV0079"/>
        <s v="INV0080"/>
        <s v="INV0081"/>
        <s v="INV0082"/>
        <s v="INV0083"/>
        <s v="INV0084"/>
        <s v="INV0085"/>
        <s v="INV0086"/>
        <s v="INV0087"/>
        <s v="INV0088"/>
        <s v="INV0089"/>
        <s v="INV0090"/>
        <s v="INV0091"/>
        <s v="INV0092"/>
        <s v="INV0093"/>
        <s v="INV0094"/>
        <s v="INV0095"/>
        <s v="INV0096"/>
        <s v="INV0097"/>
        <s v="INV0098"/>
        <s v="INV0099"/>
        <s v="INV0100"/>
        <s v="INV0101"/>
        <s v="INV0102"/>
        <s v="INV0103"/>
        <s v="INV0104"/>
        <s v="INV0105"/>
        <s v="INV0106"/>
        <s v="INV0107"/>
        <s v="INV0108"/>
        <s v="INV0109"/>
        <s v="INV0110"/>
        <s v="INV0111"/>
        <s v="INV0112"/>
        <s v="INV0113"/>
        <s v="INV0114"/>
        <s v="INV0115"/>
        <s v="INV0116"/>
        <s v="INV0117"/>
        <s v="INV0118"/>
        <s v="INV0119"/>
        <s v="INV0120"/>
        <s v="INV0121"/>
        <s v="INV0122"/>
        <s v="INV0123"/>
        <s v="INV0124"/>
        <s v="INV0125"/>
        <s v="INV0126"/>
        <s v="INV0127"/>
        <s v="INV0128"/>
        <s v="INV0129"/>
        <s v="INV0130"/>
        <s v="INV0131"/>
        <s v="INV0132"/>
        <s v="INV0133"/>
        <s v="INV0134"/>
        <s v="INV0135"/>
        <s v="INV0136"/>
        <s v="INV0137"/>
        <s v="INV0138"/>
        <s v="INV0139"/>
        <s v="INV0140"/>
        <s v="INV0141"/>
        <s v="INV0142"/>
        <s v="INV0143"/>
        <s v="INV0144"/>
        <s v="INV0145"/>
        <s v="INV0146"/>
        <s v="INV0147"/>
        <s v="INV0148"/>
        <s v="INV0149"/>
        <s v="INV0150"/>
        <s v="INV0151"/>
        <s v="INV0152"/>
        <s v="INV0153"/>
        <s v="INV0154"/>
        <s v="INV0155"/>
        <s v="INV0156"/>
        <s v="INV0157"/>
        <s v="INV0158"/>
        <s v="INV0159"/>
        <s v="INV0160"/>
        <s v="INV0161"/>
        <s v="INV0162"/>
        <s v="INV0163"/>
        <s v="INV0164"/>
        <s v="INV0165"/>
        <s v="INV0166"/>
        <s v="INV0167"/>
        <s v="INV0168"/>
        <s v="INV0169"/>
        <s v="INV0170"/>
        <s v="INV0171"/>
        <s v="INV0172"/>
        <s v="INV0173"/>
        <s v="INV0174"/>
        <s v="INV0175"/>
        <s v="INV0176"/>
        <s v="INV0177"/>
        <s v="INV0178"/>
        <s v="INV0179"/>
        <s v="INV0180"/>
        <s v="INV0181"/>
        <s v="INV0182"/>
        <s v="INV0183"/>
        <s v="INV0184"/>
        <s v="INV0185"/>
        <s v="INV0186"/>
        <s v="INV0187"/>
        <s v="INV0188"/>
        <s v="INV0189"/>
        <s v="INV0190"/>
        <s v="INV0191"/>
        <s v="INV0192"/>
        <s v="INV0193"/>
        <s v="INV0194"/>
        <s v="INV0195"/>
        <s v="INV0196"/>
        <s v="INV0197"/>
        <s v="INV0198"/>
        <s v="INV0199"/>
        <s v="INV0200"/>
        <s v="INV0201"/>
        <s v="INV0202"/>
        <s v="INV0203"/>
        <s v="INV0204"/>
        <s v="INV0205"/>
        <s v="INV0206"/>
        <s v="INV0207"/>
        <s v="INV0208"/>
        <s v="INV0209"/>
        <s v="INV0210"/>
        <s v="INV0211"/>
        <s v="INV0212"/>
        <s v="INV0213"/>
        <s v="INV0214"/>
        <s v="INV0215"/>
        <s v="INV0216"/>
        <s v="INV0217"/>
        <s v="INV0218"/>
        <s v="INV0219"/>
        <s v="INV0220"/>
        <s v="INV0221"/>
        <s v="INV0222"/>
        <s v="INV0223"/>
        <s v="INV0224"/>
        <s v="INV0225"/>
        <s v="INV0226"/>
        <s v="INV0227"/>
        <s v="INV0228"/>
        <s v="INV0229"/>
        <s v="INV0230"/>
        <s v="INV0231"/>
        <s v="INV0232"/>
        <s v="INV0233"/>
        <s v="INV0234"/>
        <s v="INV0235"/>
        <s v="INV0236"/>
        <s v="INV0237"/>
        <s v="INV0238"/>
        <s v="INV0239"/>
        <s v="INV0240"/>
        <s v="INV0241"/>
        <s v="INV0242"/>
        <s v="INV0243"/>
        <s v="INV0244"/>
        <s v="INV0245"/>
        <s v="INV0246"/>
        <s v="INV0247"/>
        <s v="INV0248"/>
        <s v="INV0249"/>
        <s v="INV0250"/>
        <s v="INV0251"/>
        <s v="INV0252"/>
        <s v="INV0253"/>
        <s v="INV0254"/>
        <s v="INV0255"/>
        <s v="INV0256"/>
        <s v="INV0257"/>
        <s v="INV0258"/>
        <s v="INV0259"/>
        <s v="INV0260"/>
        <s v="INV0261"/>
        <s v="INV0262"/>
        <s v="INV0263"/>
        <s v="INV0264"/>
        <s v="INV0265"/>
        <s v="INV0266"/>
        <s v="INV0267"/>
        <s v="INV0268"/>
        <s v="INV0269"/>
        <s v="INV0270"/>
        <s v="INV0271"/>
        <s v="INV0272"/>
        <s v="INV0273"/>
        <s v="INV0274"/>
        <s v="INV0275"/>
        <s v="INV0276"/>
        <s v="INV0277"/>
        <s v="INV0278"/>
        <s v="INV0279"/>
        <s v="INV0280"/>
        <s v="INV0281"/>
        <s v="INV0282"/>
        <s v="INV0283"/>
        <s v="INV0284"/>
        <s v="INV0285"/>
        <s v="INV0286"/>
        <s v="INV0287"/>
        <s v="INV0288"/>
        <s v="INV0289"/>
        <s v="INV0290"/>
        <s v="INV0291"/>
        <s v="INV0292"/>
        <s v="INV0293"/>
        <s v="INV0294"/>
        <s v="INV0295"/>
        <s v="INV0296"/>
        <s v="INV0297"/>
        <s v="INV0298"/>
        <s v="INV0299"/>
        <s v="INV0300"/>
        <m/>
      </sharedItems>
    </cacheField>
    <cacheField name="CustomerID" numFmtId="0">
      <sharedItems containsBlank="1"/>
    </cacheField>
    <cacheField name="InvoiceDate" numFmtId="0">
      <sharedItems containsBlank="1" count="201">
        <s v="2025-01-09"/>
        <s v="2025-08-23"/>
        <s v="2025-05-04"/>
        <s v="2025-07-16"/>
        <s v="2025-03-28"/>
        <s v="2025-02-20"/>
        <s v="2025-05-23"/>
        <s v="2025-01-20"/>
        <s v="2025-12-02"/>
        <s v="2025-07-11"/>
        <s v="2025-05-08"/>
        <s v="2025-07-21"/>
        <s v="2025-03-21"/>
        <s v="2025-06-16"/>
        <s v="2025-12-13"/>
        <s v="2025-07-04"/>
        <s v="2025-08-03"/>
        <s v="2025-11-20"/>
        <s v="2025-06-04"/>
        <s v="2025-07-19"/>
        <s v="2025-04-27"/>
        <s v="2025-02-10"/>
        <s v="2025-09-15"/>
        <s v="2025-08-20"/>
        <s v="2025-06-26"/>
        <s v="2025-08-18"/>
        <s v="2025-11-08"/>
        <s v="2025-01-08"/>
        <s v="2025-12-08"/>
        <s v="2025-02-23"/>
        <s v="2025-08-24"/>
        <s v="2025-10-24"/>
        <s v="2025-01-18"/>
        <s v="2025-06-07"/>
        <s v="2025-04-26"/>
        <s v="2025-10-07"/>
        <s v="2025-02-01"/>
        <s v="2025-07-25"/>
        <s v="2025-06-19"/>
        <s v="2025-01-05"/>
        <s v="2025-09-01"/>
        <s v="2025-07-26"/>
        <s v="2025-08-07"/>
        <s v="2025-03-13"/>
        <s v="2025-07-10"/>
        <s v="2025-05-15"/>
        <s v="2025-09-03"/>
        <s v="2025-01-03"/>
        <s v="2025-07-02"/>
        <s v="2025-08-12"/>
        <s v="2025-10-17"/>
        <s v="2025-04-13"/>
        <s v="2025-11-12"/>
        <s v="2025-06-10"/>
        <s v="2025-05-25"/>
        <s v="2025-07-09"/>
        <s v="2025-05-19"/>
        <s v="2025-12-15"/>
        <s v="2025-08-11"/>
        <s v="2025-04-04"/>
        <s v="2025-09-28"/>
        <s v="2025-02-11"/>
        <s v="2025-06-14"/>
        <s v="2025-04-25"/>
        <s v="2025-07-13"/>
        <s v="2025-10-22"/>
        <s v="2025-11-28"/>
        <s v="2025-02-24"/>
        <s v="2025-02-28"/>
        <s v="2025-03-18"/>
        <s v="2025-01-07"/>
        <s v="2025-12-22"/>
        <s v="2025-08-25"/>
        <s v="2025-10-13"/>
        <s v="2025-08-01"/>
        <s v="2025-03-07"/>
        <s v="2025-03-25"/>
        <s v="2025-01-02"/>
        <s v="2025-11-15"/>
        <s v="2025-01-10"/>
        <s v="2025-01-16"/>
        <s v="2025-12-06"/>
        <s v="2025-09-25"/>
        <s v="2025-07-12"/>
        <s v="2025-06-12"/>
        <s v="2025-02-02"/>
        <s v="2025-10-04"/>
        <s v="2025-09-06"/>
        <s v="2025-03-15"/>
        <s v="2025-11-14"/>
        <s v="2025-10-01"/>
        <s v="2025-02-04"/>
        <s v="2025-12-03"/>
        <s v="2025-01-19"/>
        <s v="2025-11-07"/>
        <s v="2025-11-19"/>
        <s v="2025-04-19"/>
        <s v="2025-09-14"/>
        <s v="2025-06-27"/>
        <s v="2025-11-26"/>
        <s v="2025-07-17"/>
        <s v="2025-10-20"/>
        <s v="2025-03-22"/>
        <s v="2025-06-06"/>
        <s v="2025-12-20"/>
        <s v="2025-08-19"/>
        <s v="2025-08-13"/>
        <s v="2025-06-03"/>
        <s v="2025-11-04"/>
        <s v="2025-06-15"/>
        <s v="2025-08-09"/>
        <s v="2025-05-14"/>
        <s v="2025-02-21"/>
        <s v="2025-09-22"/>
        <s v="2025-08-26"/>
        <s v="2025-01-15"/>
        <s v="2025-03-08"/>
        <s v="2025-06-08"/>
        <s v="2025-10-11"/>
        <s v="2025-11-17"/>
        <s v="2025-11-05"/>
        <s v="2025-10-05"/>
        <s v="2025-12-19"/>
        <s v="2025-10-23"/>
        <s v="2025-02-14"/>
        <s v="2025-05-11"/>
        <s v="2025-04-10"/>
        <s v="2025-12-25"/>
        <s v="2025-09-12"/>
        <s v="2025-09-04"/>
        <s v="2025-01-26"/>
        <s v="2025-03-14"/>
        <s v="2025-10-18"/>
        <s v="2025-11-16"/>
        <s v="2025-09-10"/>
        <s v="2025-08-06"/>
        <s v="2025-01-17"/>
        <s v="2025-05-10"/>
        <s v="2025-05-07"/>
        <s v="2025-11-11"/>
        <s v="2025-05-13"/>
        <s v="2025-01-28"/>
        <s v="2025-10-25"/>
        <s v="2025-12-07"/>
        <s v="2025-10-08"/>
        <s v="2025-04-03"/>
        <s v="2025-05-20"/>
        <s v="2025-09-17"/>
        <s v="2025-12-11"/>
        <s v="2025-12-10"/>
        <s v="2025-10-15"/>
        <s v="2025-02-18"/>
        <s v="2025-10-06"/>
        <s v="2025-06-05"/>
        <s v="2025-03-16"/>
        <s v="2025-10-12"/>
        <s v="2025-01-22"/>
        <s v="2025-03-11"/>
        <s v="2025-04-28"/>
        <s v="2025-04-09"/>
        <s v="2025-04-07"/>
        <s v="2025-01-06"/>
        <s v="2025-02-03"/>
        <s v="2025-04-18"/>
        <s v="2025-10-10"/>
        <s v="2025-03-04"/>
        <s v="2025-03-02"/>
        <s v="2025-03-12"/>
        <s v="2025-04-14"/>
        <s v="2025-10-19"/>
        <s v="2025-06-22"/>
        <s v="2025-03-03"/>
        <s v="2025-12-27"/>
        <s v="2025-12-17"/>
        <s v="2025-09-13"/>
        <s v="2025-04-24"/>
        <s v="2025-04-21"/>
        <s v="2025-12-21"/>
        <s v="2025-07-08"/>
        <s v="2025-10-09"/>
        <s v="2025-10-03"/>
        <s v="2025-12-18"/>
        <s v="2025-08-16"/>
        <s v="2025-07-24"/>
        <s v="2025-07-23"/>
        <s v="2025-07-27"/>
        <s v="2025-03-24"/>
        <s v="2025-09-02"/>
        <s v="2025-04-11"/>
        <s v="2025-05-18"/>
        <s v="2025-02-12"/>
        <s v="2025-12-14"/>
        <s v="2025-09-23"/>
        <s v="2025-11-03"/>
        <s v="2025-05-06"/>
        <s v="2025-11-13"/>
        <s v="2025-06-13"/>
        <s v="2025-09-09"/>
        <s v="2025-04-22"/>
        <s v="2025-03-17"/>
        <m/>
      </sharedItems>
    </cacheField>
    <cacheField name="Qty_Inv" numFmtId="0">
      <sharedItems containsString="0" containsBlank="1" containsNumber="1" containsInteger="1" minValue="5" maxValue="100"/>
    </cacheField>
    <cacheField name="UnitPrice" numFmtId="0">
      <sharedItems containsString="0" containsBlank="1" containsNumber="1" containsInteger="1" minValue="50000" maxValue="200000"/>
    </cacheField>
    <cacheField name="Total_Amount" numFmtId="0">
      <sharedItems containsString="0" containsBlank="1" containsNumber="1" containsInteger="1" minValue="300000" maxValue="20000000" count="176">
        <n v="20000000"/>
        <n v="2100000"/>
        <n v="13500000"/>
        <n v="6975000"/>
        <n v="3500000"/>
        <n v="4750000"/>
        <n v="650000"/>
        <n v="5100000"/>
        <n v="2400000"/>
        <n v="11250000"/>
        <n v="14550000"/>
        <n v="14700000"/>
        <n v="3225000"/>
        <n v="10650000"/>
        <n v="10200000"/>
        <n v="550000"/>
        <n v="9450000"/>
        <n v="1300000"/>
        <n v="3950000"/>
        <n v="6800000"/>
        <n v="17800000"/>
        <n v="7350000"/>
        <n v="9400000"/>
        <n v="2950000"/>
        <n v="1800000"/>
        <n v="4350000"/>
        <n v="6600000"/>
        <n v="18600000"/>
        <n v="3300000"/>
        <n v="9900000"/>
        <n v="3200000"/>
        <n v="7950000"/>
        <n v="11550000"/>
        <n v="6450000"/>
        <n v="3400000"/>
        <n v="18400000"/>
        <n v="5500000"/>
        <n v="900000"/>
        <n v="3750000"/>
        <n v="11100000"/>
        <n v="4500000"/>
        <n v="6000000"/>
        <n v="14250000"/>
        <n v="4200000"/>
        <n v="5200000"/>
        <n v="4700000"/>
        <n v="675000"/>
        <n v="5600000"/>
        <n v="600000"/>
        <n v="2600000"/>
        <n v="5925000"/>
        <n v="15000000"/>
        <n v="4900000"/>
        <n v="3150000"/>
        <n v="2650000"/>
        <n v="18800000"/>
        <n v="12150000"/>
        <n v="7500000"/>
        <n v="2700000"/>
        <n v="7800000"/>
        <n v="1350000"/>
        <n v="12200000"/>
        <n v="9000000"/>
        <n v="14800000"/>
        <n v="4725000"/>
        <n v="1950000"/>
        <n v="8250000"/>
        <n v="2200000"/>
        <n v="4800000"/>
        <n v="9200000"/>
        <n v="12600000"/>
        <n v="8400000"/>
        <n v="1900000"/>
        <n v="6075000"/>
        <n v="2850000"/>
        <n v="3000000"/>
        <n v="5300000"/>
        <n v="2550000"/>
        <n v="16600000"/>
        <n v="4050000"/>
        <n v="4125000"/>
        <n v="3600000"/>
        <n v="1500000"/>
        <n v="15400000"/>
        <n v="6100000"/>
        <n v="15800000"/>
        <n v="11200000"/>
        <n v="7000000"/>
        <n v="4400000"/>
        <n v="9600000"/>
        <n v="8700000"/>
        <n v="7200000"/>
        <n v="1750000"/>
        <n v="13050000"/>
        <n v="6900000"/>
        <n v="8600000"/>
        <n v="8800000"/>
        <n v="1100000"/>
        <n v="12800000"/>
        <n v="1600000"/>
        <n v="2000000"/>
        <n v="10000000"/>
        <n v="5550000"/>
        <n v="3050000"/>
        <n v="4100000"/>
        <n v="7900000"/>
        <n v="4000000"/>
        <n v="9700000"/>
        <n v="16400000"/>
        <n v="6150000"/>
        <n v="8550000"/>
        <n v="14400000"/>
        <n v="8300000"/>
        <n v="4250000"/>
        <n v="13800000"/>
        <n v="1700000"/>
        <n v="800000"/>
        <n v="13400000"/>
        <n v="5775000"/>
        <n v="300000"/>
        <n v="1050000"/>
        <n v="350000"/>
        <n v="12000000"/>
        <n v="1200000"/>
        <n v="8500000"/>
        <n v="1425000"/>
        <n v="6825000"/>
        <n v="975000"/>
        <n v="1450000"/>
        <n v="17200000"/>
        <n v="2500000"/>
        <n v="18200000"/>
        <n v="450000"/>
        <n v="7125000"/>
        <n v="11400000"/>
        <n v="7050000"/>
        <n v="6675000"/>
        <n v="1000000"/>
        <n v="4300000"/>
        <n v="5175000"/>
        <n v="6375000"/>
        <n v="2625000"/>
        <n v="700000"/>
        <n v="11600000"/>
        <n v="6500000"/>
        <n v="5000000"/>
        <n v="5250000"/>
        <n v="6750000"/>
        <n v="3450000"/>
        <n v="10950000"/>
        <n v="8100000"/>
        <n v="13000000"/>
        <n v="6200000"/>
        <n v="2250000"/>
        <n v="14200000"/>
        <n v="1275000"/>
        <n v="4150000"/>
        <n v="4550000"/>
        <n v="1875000"/>
        <n v="2775000"/>
        <n v="5400000"/>
        <n v="3800000"/>
        <n v="4650000"/>
        <n v="12750000"/>
        <n v="2150000"/>
        <n v="8900000"/>
        <n v="4950000"/>
        <n v="14100000"/>
        <n v="9750000"/>
        <n v="2325000"/>
        <n v="6400000"/>
        <n v="3900000"/>
        <n v="3550000"/>
        <n v="2800000"/>
        <n v="50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illah Nur Fitriyanah" refreshedDate="46175.450466666669" createdVersion="8" refreshedVersion="8" minRefreshableVersion="3" recordCount="300" xr:uid="{5DD30176-609A-4682-88F3-14C11F671A3F}">
  <cacheSource type="worksheet">
    <worksheetSource ref="A1:G301" sheet="Invoice_Data"/>
  </cacheSource>
  <cacheFields count="7">
    <cacheField name="InvoiceNo" numFmtId="0">
      <sharedItems/>
    </cacheField>
    <cacheField name="CustomerID" numFmtId="0">
      <sharedItems/>
    </cacheField>
    <cacheField name="month" numFmtId="0">
      <sharedItems count="12">
        <s v="January"/>
        <s v="August"/>
        <s v="May"/>
        <s v="July"/>
        <s v="March"/>
        <s v="February"/>
        <s v="December"/>
        <s v="June"/>
        <s v="November"/>
        <s v="April"/>
        <s v="September"/>
        <s v="October"/>
      </sharedItems>
    </cacheField>
    <cacheField name="InvoiceDate" numFmtId="14">
      <sharedItems count="200">
        <s v="2025-01-09"/>
        <s v="2025-08-23"/>
        <s v="2025-05-04"/>
        <s v="2025-07-16"/>
        <s v="2025-03-28"/>
        <s v="2025-02-20"/>
        <s v="2025-05-23"/>
        <s v="2025-01-20"/>
        <s v="2025-12-02"/>
        <s v="2025-07-11"/>
        <s v="2025-05-08"/>
        <s v="2025-07-21"/>
        <s v="2025-03-21"/>
        <s v="2025-06-16"/>
        <s v="2025-12-13"/>
        <s v="2025-07-04"/>
        <s v="2025-08-03"/>
        <s v="2025-11-20"/>
        <s v="2025-06-04"/>
        <s v="2025-07-19"/>
        <s v="2025-04-27"/>
        <s v="2025-02-10"/>
        <s v="2025-09-15"/>
        <s v="2025-08-20"/>
        <s v="2025-06-26"/>
        <s v="2025-08-18"/>
        <s v="2025-11-08"/>
        <s v="2025-01-08"/>
        <s v="2025-12-08"/>
        <s v="2025-02-23"/>
        <s v="2025-08-24"/>
        <s v="2025-10-24"/>
        <s v="2025-01-18"/>
        <s v="2025-06-07"/>
        <s v="2025-04-26"/>
        <s v="2025-10-07"/>
        <s v="2025-02-01"/>
        <s v="2025-07-25"/>
        <s v="2025-06-19"/>
        <s v="2025-01-05"/>
        <s v="2025-09-01"/>
        <s v="2025-07-26"/>
        <s v="2025-08-07"/>
        <s v="2025-03-13"/>
        <s v="2025-07-10"/>
        <s v="2025-05-15"/>
        <s v="2025-09-03"/>
        <s v="2025-01-03"/>
        <s v="2025-07-02"/>
        <s v="2025-08-12"/>
        <s v="2025-10-17"/>
        <s v="2025-04-13"/>
        <s v="2025-11-12"/>
        <s v="2025-06-10"/>
        <s v="2025-05-25"/>
        <s v="2025-07-09"/>
        <s v="2025-05-19"/>
        <s v="2025-12-15"/>
        <s v="2025-08-11"/>
        <s v="2025-04-04"/>
        <s v="2025-09-28"/>
        <s v="2025-02-11"/>
        <s v="2025-06-14"/>
        <s v="2025-04-25"/>
        <s v="2025-07-13"/>
        <s v="2025-10-22"/>
        <s v="2025-11-28"/>
        <s v="2025-02-24"/>
        <s v="2025-02-28"/>
        <s v="2025-03-18"/>
        <s v="2025-01-07"/>
        <s v="2025-12-22"/>
        <s v="2025-08-25"/>
        <s v="2025-10-13"/>
        <s v="2025-08-01"/>
        <s v="2025-03-07"/>
        <s v="2025-03-25"/>
        <s v="2025-01-02"/>
        <s v="2025-11-15"/>
        <s v="2025-01-10"/>
        <s v="2025-01-16"/>
        <s v="2025-12-06"/>
        <s v="2025-09-25"/>
        <s v="2025-07-12"/>
        <s v="2025-06-12"/>
        <s v="2025-02-02"/>
        <s v="2025-10-04"/>
        <s v="2025-09-06"/>
        <s v="2025-03-15"/>
        <s v="2025-11-14"/>
        <s v="2025-10-01"/>
        <s v="2025-02-04"/>
        <s v="2025-12-03"/>
        <s v="2025-01-19"/>
        <s v="2025-11-07"/>
        <s v="2025-11-19"/>
        <s v="2025-04-19"/>
        <s v="2025-09-14"/>
        <s v="2025-06-27"/>
        <s v="2025-11-26"/>
        <s v="2025-07-17"/>
        <s v="2025-10-20"/>
        <s v="2025-03-22"/>
        <s v="2025-06-06"/>
        <s v="2025-12-20"/>
        <s v="2025-08-19"/>
        <s v="2025-08-13"/>
        <s v="2025-06-03"/>
        <s v="2025-11-04"/>
        <s v="2025-06-15"/>
        <s v="2025-08-09"/>
        <s v="2025-05-14"/>
        <s v="2025-02-21"/>
        <s v="2025-09-22"/>
        <s v="2025-08-26"/>
        <s v="2025-01-15"/>
        <s v="2025-03-08"/>
        <s v="2025-06-08"/>
        <s v="2025-10-11"/>
        <s v="2025-11-17"/>
        <s v="2025-11-05"/>
        <s v="2025-10-05"/>
        <s v="2025-12-19"/>
        <s v="2025-10-23"/>
        <s v="2025-02-14"/>
        <s v="2025-05-11"/>
        <s v="2025-04-10"/>
        <s v="2025-12-25"/>
        <s v="2025-09-12"/>
        <s v="2025-09-04"/>
        <s v="2025-01-26"/>
        <s v="2025-03-14"/>
        <s v="2025-10-18"/>
        <s v="2025-11-16"/>
        <s v="2025-09-10"/>
        <s v="2025-08-06"/>
        <s v="2025-01-17"/>
        <s v="2025-05-10"/>
        <s v="2025-05-07"/>
        <s v="2025-11-11"/>
        <s v="2025-05-13"/>
        <s v="2025-01-28"/>
        <s v="2025-10-25"/>
        <s v="2025-12-07"/>
        <s v="2025-10-08"/>
        <s v="2025-04-03"/>
        <s v="2025-05-20"/>
        <s v="2025-09-17"/>
        <s v="2025-12-11"/>
        <s v="2025-12-10"/>
        <s v="2025-10-15"/>
        <s v="2025-02-18"/>
        <s v="2025-10-06"/>
        <s v="2025-06-05"/>
        <s v="2025-03-16"/>
        <s v="2025-10-12"/>
        <s v="2025-01-22"/>
        <s v="2025-03-11"/>
        <s v="2025-04-28"/>
        <s v="2025-04-09"/>
        <s v="2025-04-07"/>
        <s v="2025-01-06"/>
        <s v="2025-02-03"/>
        <s v="2025-04-18"/>
        <s v="2025-10-10"/>
        <s v="2025-03-04"/>
        <s v="2025-03-02"/>
        <s v="2025-03-12"/>
        <s v="2025-04-14"/>
        <s v="2025-10-19"/>
        <s v="2025-06-22"/>
        <s v="2025-03-03"/>
        <s v="2025-12-27"/>
        <s v="2025-12-17"/>
        <s v="2025-09-13"/>
        <s v="2025-04-24"/>
        <s v="2025-04-21"/>
        <s v="2025-12-21"/>
        <s v="2025-07-08"/>
        <s v="2025-10-09"/>
        <s v="2025-10-03"/>
        <s v="2025-12-18"/>
        <s v="2025-08-16"/>
        <s v="2025-07-24"/>
        <s v="2025-07-23"/>
        <s v="2025-07-27"/>
        <s v="2025-03-24"/>
        <s v="2025-09-02"/>
        <s v="2025-04-11"/>
        <s v="2025-05-18"/>
        <s v="2025-02-12"/>
        <s v="2025-12-14"/>
        <s v="2025-09-23"/>
        <s v="2025-11-03"/>
        <s v="2025-05-06"/>
        <s v="2025-11-13"/>
        <s v="2025-06-13"/>
        <s v="2025-09-09"/>
        <s v="2025-04-22"/>
        <s v="2025-03-17"/>
      </sharedItems>
    </cacheField>
    <cacheField name="Qty_Inv" numFmtId="0">
      <sharedItems containsSemiMixedTypes="0" containsString="0" containsNumber="1" containsInteger="1" minValue="5" maxValue="100"/>
    </cacheField>
    <cacheField name="UnitPrice" numFmtId="0">
      <sharedItems containsSemiMixedTypes="0" containsString="0" containsNumber="1" containsInteger="1" minValue="50000" maxValue="200000"/>
    </cacheField>
    <cacheField name="Total_Amount" numFmtId="0">
      <sharedItems containsSemiMixedTypes="0" containsString="0" containsNumber="1" containsInteger="1" minValue="300000" maxValue="2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00"/>
    <n v="100"/>
    <x v="0"/>
  </r>
  <r>
    <x v="1"/>
    <n v="21"/>
    <n v="21"/>
    <x v="0"/>
  </r>
  <r>
    <x v="2"/>
    <n v="90"/>
    <n v="90"/>
    <x v="0"/>
  </r>
  <r>
    <x v="3"/>
    <n v="93"/>
    <n v="93"/>
    <x v="0"/>
  </r>
  <r>
    <x v="4"/>
    <n v="35"/>
    <n v="35"/>
    <x v="0"/>
  </r>
  <r>
    <x v="5"/>
    <n v="95"/>
    <n v="91"/>
    <x v="1"/>
  </r>
  <r>
    <x v="6"/>
    <n v="13"/>
    <n v="13"/>
    <x v="0"/>
  </r>
  <r>
    <x v="7"/>
    <n v="34"/>
    <n v="34"/>
    <x v="0"/>
  </r>
  <r>
    <x v="8"/>
    <n v="24"/>
    <n v="24"/>
    <x v="0"/>
  </r>
  <r>
    <x v="9"/>
    <n v="75"/>
    <n v="71"/>
    <x v="1"/>
  </r>
  <r>
    <x v="10"/>
    <n v="97"/>
    <n v="97"/>
    <x v="0"/>
  </r>
  <r>
    <x v="11"/>
    <n v="98"/>
    <n v="98"/>
    <x v="0"/>
  </r>
  <r>
    <x v="12"/>
    <n v="43"/>
    <n v="43"/>
    <x v="0"/>
  </r>
  <r>
    <x v="13"/>
    <n v="71"/>
    <n v="71"/>
    <x v="0"/>
  </r>
  <r>
    <x v="14"/>
    <n v="68"/>
    <n v="68"/>
    <x v="0"/>
  </r>
  <r>
    <x v="15"/>
    <n v="11"/>
    <n v="11"/>
    <x v="0"/>
  </r>
  <r>
    <x v="16"/>
    <n v="63"/>
    <n v="63"/>
    <x v="0"/>
  </r>
  <r>
    <x v="17"/>
    <n v="26"/>
    <n v="26"/>
    <x v="0"/>
  </r>
  <r>
    <x v="18"/>
    <n v="79"/>
    <n v="79"/>
    <x v="0"/>
  </r>
  <r>
    <x v="19"/>
    <n v="34"/>
    <n v="34"/>
    <x v="0"/>
  </r>
  <r>
    <x v="20"/>
    <n v="89"/>
    <n v="89"/>
    <x v="0"/>
  </r>
  <r>
    <x v="21"/>
    <n v="49"/>
    <n v="49"/>
    <x v="0"/>
  </r>
  <r>
    <x v="22"/>
    <n v="94"/>
    <n v="94"/>
    <x v="0"/>
  </r>
  <r>
    <x v="23"/>
    <n v="59"/>
    <n v="59"/>
    <x v="0"/>
  </r>
  <r>
    <x v="24"/>
    <n v="18"/>
    <n v="18"/>
    <x v="0"/>
  </r>
  <r>
    <x v="25"/>
    <n v="58"/>
    <n v="58"/>
    <x v="0"/>
  </r>
  <r>
    <x v="26"/>
    <n v="44"/>
    <n v="44"/>
    <x v="0"/>
  </r>
  <r>
    <x v="27"/>
    <n v="18"/>
    <n v="18"/>
    <x v="0"/>
  </r>
  <r>
    <x v="28"/>
    <n v="93"/>
    <n v="93"/>
    <x v="0"/>
  </r>
  <r>
    <x v="29"/>
    <n v="66"/>
    <n v="66"/>
    <x v="0"/>
  </r>
  <r>
    <x v="30"/>
    <n v="99"/>
    <n v="99"/>
    <x v="0"/>
  </r>
  <r>
    <x v="31"/>
    <n v="64"/>
    <n v="64"/>
    <x v="0"/>
  </r>
  <r>
    <x v="32"/>
    <n v="53"/>
    <n v="53"/>
    <x v="0"/>
  </r>
  <r>
    <x v="33"/>
    <n v="68"/>
    <n v="68"/>
    <x v="0"/>
  </r>
  <r>
    <x v="34"/>
    <n v="77"/>
    <n v="77"/>
    <x v="0"/>
  </r>
  <r>
    <x v="35"/>
    <n v="43"/>
    <n v="43"/>
    <x v="0"/>
  </r>
  <r>
    <x v="36"/>
    <n v="17"/>
    <n v="17"/>
    <x v="0"/>
  </r>
  <r>
    <x v="37"/>
    <n v="92"/>
    <n v="92"/>
    <x v="0"/>
  </r>
  <r>
    <x v="38"/>
    <n v="55"/>
    <n v="55"/>
    <x v="0"/>
  </r>
  <r>
    <x v="39"/>
    <n v="9"/>
    <n v="9"/>
    <x v="0"/>
  </r>
  <r>
    <x v="40"/>
    <n v="50"/>
    <n v="50"/>
    <x v="0"/>
  </r>
  <r>
    <x v="41"/>
    <n v="74"/>
    <n v="74"/>
    <x v="0"/>
  </r>
  <r>
    <x v="42"/>
    <n v="24"/>
    <n v="24"/>
    <x v="0"/>
  </r>
  <r>
    <x v="43"/>
    <n v="30"/>
    <n v="30"/>
    <x v="0"/>
  </r>
  <r>
    <x v="44"/>
    <n v="60"/>
    <n v="60"/>
    <x v="0"/>
  </r>
  <r>
    <x v="45"/>
    <n v="95"/>
    <n v="95"/>
    <x v="0"/>
  </r>
  <r>
    <x v="46"/>
    <n v="56"/>
    <n v="56"/>
    <x v="0"/>
  </r>
  <r>
    <x v="47"/>
    <n v="42"/>
    <n v="42"/>
    <x v="0"/>
  </r>
  <r>
    <x v="48"/>
    <n v="34"/>
    <n v="34"/>
    <x v="0"/>
  </r>
  <r>
    <x v="49"/>
    <n v="26"/>
    <n v="26"/>
    <x v="0"/>
  </r>
  <r>
    <x v="50"/>
    <n v="94"/>
    <n v="94"/>
    <x v="0"/>
  </r>
  <r>
    <x v="51"/>
    <n v="9"/>
    <n v="9"/>
    <x v="0"/>
  </r>
  <r>
    <x v="52"/>
    <n v="56"/>
    <n v="56"/>
    <x v="0"/>
  </r>
  <r>
    <x v="53"/>
    <n v="6"/>
    <n v="6"/>
    <x v="0"/>
  </r>
  <r>
    <x v="54"/>
    <n v="45"/>
    <n v="45"/>
    <x v="0"/>
  </r>
  <r>
    <x v="55"/>
    <n v="66"/>
    <n v="66"/>
    <x v="0"/>
  </r>
  <r>
    <x v="56"/>
    <n v="52"/>
    <n v="52"/>
    <x v="0"/>
  </r>
  <r>
    <x v="57"/>
    <n v="79"/>
    <n v="79"/>
    <x v="0"/>
  </r>
  <r>
    <x v="58"/>
    <n v="75"/>
    <n v="75"/>
    <x v="0"/>
  </r>
  <r>
    <x v="59"/>
    <n v="98"/>
    <n v="98"/>
    <x v="0"/>
  </r>
  <r>
    <x v="60"/>
    <n v="63"/>
    <n v="63"/>
    <x v="0"/>
  </r>
  <r>
    <x v="61"/>
    <n v="53"/>
    <n v="53"/>
    <x v="0"/>
  </r>
  <r>
    <x v="62"/>
    <n v="94"/>
    <n v="94"/>
    <x v="0"/>
  </r>
  <r>
    <x v="63"/>
    <n v="81"/>
    <n v="81"/>
    <x v="0"/>
  </r>
  <r>
    <x v="64"/>
    <n v="100"/>
    <n v="100"/>
    <x v="0"/>
  </r>
  <r>
    <x v="65"/>
    <n v="18"/>
    <n v="18"/>
    <x v="0"/>
  </r>
  <r>
    <x v="66"/>
    <n v="52"/>
    <n v="52"/>
    <x v="0"/>
  </r>
  <r>
    <x v="67"/>
    <n v="9"/>
    <n v="9"/>
    <x v="0"/>
  </r>
  <r>
    <x v="68"/>
    <n v="61"/>
    <n v="61"/>
    <x v="0"/>
  </r>
  <r>
    <x v="69"/>
    <n v="60"/>
    <n v="60"/>
    <x v="0"/>
  </r>
  <r>
    <x v="70"/>
    <n v="74"/>
    <n v="74"/>
    <x v="0"/>
  </r>
  <r>
    <x v="71"/>
    <n v="63"/>
    <n v="63"/>
    <x v="0"/>
  </r>
  <r>
    <x v="72"/>
    <n v="39"/>
    <n v="39"/>
    <x v="0"/>
  </r>
  <r>
    <x v="73"/>
    <n v="55"/>
    <n v="55"/>
    <x v="0"/>
  </r>
  <r>
    <x v="74"/>
    <n v="22"/>
    <n v="22"/>
    <x v="0"/>
  </r>
  <r>
    <x v="75"/>
    <n v="64"/>
    <n v="64"/>
    <x v="0"/>
  </r>
  <r>
    <x v="76"/>
    <n v="12"/>
    <n v="12"/>
    <x v="0"/>
  </r>
  <r>
    <x v="77"/>
    <n v="92"/>
    <n v="92"/>
    <x v="0"/>
  </r>
  <r>
    <x v="78"/>
    <n v="63"/>
    <n v="62"/>
    <x v="1"/>
  </r>
  <r>
    <x v="79"/>
    <n v="42"/>
    <n v="42"/>
    <x v="0"/>
  </r>
  <r>
    <x v="80"/>
    <n v="38"/>
    <n v="38"/>
    <x v="0"/>
  </r>
  <r>
    <x v="81"/>
    <n v="81"/>
    <n v="81"/>
    <x v="0"/>
  </r>
  <r>
    <x v="82"/>
    <n v="57"/>
    <n v="57"/>
    <x v="0"/>
  </r>
  <r>
    <x v="83"/>
    <n v="20"/>
    <n v="20"/>
    <x v="0"/>
  </r>
  <r>
    <x v="84"/>
    <n v="53"/>
    <n v="53"/>
    <x v="0"/>
  </r>
  <r>
    <x v="85"/>
    <n v="34"/>
    <n v="34"/>
    <x v="0"/>
  </r>
  <r>
    <x v="86"/>
    <n v="21"/>
    <n v="21"/>
    <x v="0"/>
  </r>
  <r>
    <x v="87"/>
    <n v="56"/>
    <n v="56"/>
    <x v="0"/>
  </r>
  <r>
    <x v="88"/>
    <n v="83"/>
    <n v="83"/>
    <x v="0"/>
  </r>
  <r>
    <x v="89"/>
    <n v="54"/>
    <n v="54"/>
    <x v="0"/>
  </r>
  <r>
    <x v="90"/>
    <n v="13"/>
    <n v="13"/>
    <x v="0"/>
  </r>
  <r>
    <x v="91"/>
    <n v="55"/>
    <n v="55"/>
    <x v="0"/>
  </r>
  <r>
    <x v="92"/>
    <n v="16"/>
    <n v="16"/>
    <x v="0"/>
  </r>
  <r>
    <x v="93"/>
    <n v="94"/>
    <n v="94"/>
    <x v="0"/>
  </r>
  <r>
    <x v="94"/>
    <n v="18"/>
    <n v="18"/>
    <x v="0"/>
  </r>
  <r>
    <x v="95"/>
    <n v="84"/>
    <n v="84"/>
    <x v="0"/>
  </r>
  <r>
    <x v="96"/>
    <n v="10"/>
    <n v="10"/>
    <x v="0"/>
  </r>
  <r>
    <x v="97"/>
    <n v="60"/>
    <n v="60"/>
    <x v="0"/>
  </r>
  <r>
    <x v="98"/>
    <n v="77"/>
    <n v="77"/>
    <x v="0"/>
  </r>
  <r>
    <x v="99"/>
    <n v="61"/>
    <n v="61"/>
    <x v="0"/>
  </r>
  <r>
    <x v="100"/>
    <n v="79"/>
    <n v="79"/>
    <x v="0"/>
  </r>
  <r>
    <x v="101"/>
    <n v="56"/>
    <n v="56"/>
    <x v="0"/>
  </r>
  <r>
    <x v="102"/>
    <n v="24"/>
    <n v="24"/>
    <x v="0"/>
  </r>
  <r>
    <x v="103"/>
    <n v="30"/>
    <n v="30"/>
    <x v="0"/>
  </r>
  <r>
    <x v="104"/>
    <n v="70"/>
    <n v="70"/>
    <x v="0"/>
  </r>
  <r>
    <x v="105"/>
    <n v="88"/>
    <n v="88"/>
    <x v="0"/>
  </r>
  <r>
    <x v="106"/>
    <n v="48"/>
    <n v="48"/>
    <x v="0"/>
  </r>
  <r>
    <x v="107"/>
    <n v="51"/>
    <n v="51"/>
    <x v="0"/>
  </r>
  <r>
    <x v="108"/>
    <n v="58"/>
    <n v="58"/>
    <x v="0"/>
  </r>
  <r>
    <x v="109"/>
    <n v="36"/>
    <n v="36"/>
    <x v="0"/>
  </r>
  <r>
    <x v="110"/>
    <n v="96"/>
    <n v="96"/>
    <x v="0"/>
  </r>
  <r>
    <x v="111"/>
    <n v="52"/>
    <n v="52"/>
    <x v="0"/>
  </r>
  <r>
    <x v="112"/>
    <n v="35"/>
    <n v="35"/>
    <x v="0"/>
  </r>
  <r>
    <x v="113"/>
    <n v="56"/>
    <n v="56"/>
    <x v="0"/>
  </r>
  <r>
    <x v="114"/>
    <n v="95"/>
    <n v="91"/>
    <x v="1"/>
  </r>
  <r>
    <x v="115"/>
    <n v="87"/>
    <n v="87"/>
    <x v="0"/>
  </r>
  <r>
    <x v="116"/>
    <n v="69"/>
    <n v="69"/>
    <x v="0"/>
  </r>
  <r>
    <x v="117"/>
    <n v="79"/>
    <n v="79"/>
    <x v="0"/>
  </r>
  <r>
    <x v="118"/>
    <n v="86"/>
    <n v="86"/>
    <x v="0"/>
  </r>
  <r>
    <x v="119"/>
    <n v="88"/>
    <n v="88"/>
    <x v="0"/>
  </r>
  <r>
    <x v="120"/>
    <n v="22"/>
    <n v="22"/>
    <x v="0"/>
  </r>
  <r>
    <x v="121"/>
    <n v="69"/>
    <n v="69"/>
    <x v="0"/>
  </r>
  <r>
    <x v="122"/>
    <n v="42"/>
    <n v="42"/>
    <x v="0"/>
  </r>
  <r>
    <x v="123"/>
    <n v="63"/>
    <n v="63"/>
    <x v="0"/>
  </r>
  <r>
    <x v="124"/>
    <n v="64"/>
    <n v="64"/>
    <x v="0"/>
  </r>
  <r>
    <x v="125"/>
    <n v="16"/>
    <n v="16"/>
    <x v="0"/>
  </r>
  <r>
    <x v="126"/>
    <n v="32"/>
    <n v="32"/>
    <x v="0"/>
  </r>
  <r>
    <x v="127"/>
    <n v="24"/>
    <n v="24"/>
    <x v="0"/>
  </r>
  <r>
    <x v="128"/>
    <n v="20"/>
    <n v="20"/>
    <x v="0"/>
  </r>
  <r>
    <x v="129"/>
    <n v="10"/>
    <n v="8"/>
    <x v="1"/>
  </r>
  <r>
    <x v="130"/>
    <n v="50"/>
    <n v="50"/>
    <x v="0"/>
  </r>
  <r>
    <x v="131"/>
    <n v="9"/>
    <n v="9"/>
    <x v="0"/>
  </r>
  <r>
    <x v="132"/>
    <n v="74"/>
    <n v="74"/>
    <x v="0"/>
  </r>
  <r>
    <x v="133"/>
    <n v="61"/>
    <n v="61"/>
    <x v="0"/>
  </r>
  <r>
    <x v="134"/>
    <n v="41"/>
    <n v="41"/>
    <x v="0"/>
  </r>
  <r>
    <x v="135"/>
    <n v="19"/>
    <n v="19"/>
    <x v="0"/>
  </r>
  <r>
    <x v="136"/>
    <n v="79"/>
    <n v="79"/>
    <x v="0"/>
  </r>
  <r>
    <x v="137"/>
    <n v="43"/>
    <n v="43"/>
    <x v="0"/>
  </r>
  <r>
    <x v="138"/>
    <n v="20"/>
    <n v="20"/>
    <x v="0"/>
  </r>
  <r>
    <x v="139"/>
    <n v="97"/>
    <n v="97"/>
    <x v="0"/>
  </r>
  <r>
    <x v="140"/>
    <n v="82"/>
    <n v="82"/>
    <x v="0"/>
  </r>
  <r>
    <x v="141"/>
    <n v="82"/>
    <n v="82"/>
    <x v="0"/>
  </r>
  <r>
    <x v="142"/>
    <n v="51"/>
    <n v="51"/>
    <x v="0"/>
  </r>
  <r>
    <x v="143"/>
    <n v="79"/>
    <n v="74"/>
    <x v="1"/>
  </r>
  <r>
    <x v="144"/>
    <n v="57"/>
    <n v="57"/>
    <x v="0"/>
  </r>
  <r>
    <x v="145"/>
    <n v="78"/>
    <n v="78"/>
    <x v="0"/>
  </r>
  <r>
    <x v="146"/>
    <n v="96"/>
    <n v="96"/>
    <x v="0"/>
  </r>
  <r>
    <x v="147"/>
    <n v="52"/>
    <n v="52"/>
    <x v="0"/>
  </r>
  <r>
    <x v="148"/>
    <n v="34"/>
    <n v="29"/>
    <x v="1"/>
  </r>
  <r>
    <x v="149"/>
    <n v="83"/>
    <n v="83"/>
    <x v="0"/>
  </r>
  <r>
    <x v="150"/>
    <n v="85"/>
    <n v="80"/>
    <x v="1"/>
  </r>
  <r>
    <x v="151"/>
    <n v="32"/>
    <n v="32"/>
    <x v="0"/>
  </r>
  <r>
    <x v="152"/>
    <n v="18"/>
    <n v="18"/>
    <x v="0"/>
  </r>
  <r>
    <x v="153"/>
    <n v="53"/>
    <n v="53"/>
    <x v="0"/>
  </r>
  <r>
    <x v="154"/>
    <n v="55"/>
    <n v="55"/>
    <x v="0"/>
  </r>
  <r>
    <x v="155"/>
    <n v="82"/>
    <n v="82"/>
    <x v="0"/>
  </r>
  <r>
    <x v="156"/>
    <n v="87"/>
    <n v="87"/>
    <x v="0"/>
  </r>
  <r>
    <x v="157"/>
    <n v="92"/>
    <n v="92"/>
    <x v="0"/>
  </r>
  <r>
    <x v="158"/>
    <n v="17"/>
    <n v="13"/>
    <x v="1"/>
  </r>
  <r>
    <x v="159"/>
    <n v="21"/>
    <n v="21"/>
    <x v="0"/>
  </r>
  <r>
    <x v="160"/>
    <n v="42"/>
    <n v="42"/>
    <x v="0"/>
  </r>
  <r>
    <x v="161"/>
    <n v="8"/>
    <n v="8"/>
    <x v="0"/>
  </r>
  <r>
    <x v="162"/>
    <n v="97"/>
    <n v="97"/>
    <x v="0"/>
  </r>
  <r>
    <x v="163"/>
    <n v="67"/>
    <n v="67"/>
    <x v="0"/>
  </r>
  <r>
    <x v="164"/>
    <n v="82"/>
    <n v="82"/>
    <x v="0"/>
  </r>
  <r>
    <x v="165"/>
    <n v="44"/>
    <n v="44"/>
    <x v="0"/>
  </r>
  <r>
    <x v="166"/>
    <n v="9"/>
    <n v="9"/>
    <x v="0"/>
  </r>
  <r>
    <x v="167"/>
    <n v="77"/>
    <n v="77"/>
    <x v="0"/>
  </r>
  <r>
    <x v="168"/>
    <n v="35"/>
    <n v="35"/>
    <x v="0"/>
  </r>
  <r>
    <x v="169"/>
    <n v="6"/>
    <n v="6"/>
    <x v="0"/>
  </r>
  <r>
    <x v="170"/>
    <n v="21"/>
    <n v="21"/>
    <x v="0"/>
  </r>
  <r>
    <x v="171"/>
    <n v="13"/>
    <n v="13"/>
    <x v="0"/>
  </r>
  <r>
    <x v="172"/>
    <n v="12"/>
    <n v="12"/>
    <x v="0"/>
  </r>
  <r>
    <x v="173"/>
    <n v="7"/>
    <n v="4"/>
    <x v="1"/>
  </r>
  <r>
    <x v="174"/>
    <n v="80"/>
    <n v="80"/>
    <x v="0"/>
  </r>
  <r>
    <x v="175"/>
    <n v="12"/>
    <n v="12"/>
    <x v="0"/>
  </r>
  <r>
    <x v="176"/>
    <n v="50"/>
    <n v="50"/>
    <x v="0"/>
  </r>
  <r>
    <x v="177"/>
    <n v="77"/>
    <n v="77"/>
    <x v="0"/>
  </r>
  <r>
    <x v="178"/>
    <n v="45"/>
    <n v="45"/>
    <x v="0"/>
  </r>
  <r>
    <x v="179"/>
    <n v="85"/>
    <n v="85"/>
    <x v="0"/>
  </r>
  <r>
    <x v="180"/>
    <n v="32"/>
    <n v="32"/>
    <x v="0"/>
  </r>
  <r>
    <x v="181"/>
    <n v="19"/>
    <n v="19"/>
    <x v="0"/>
  </r>
  <r>
    <x v="182"/>
    <n v="94"/>
    <n v="94"/>
    <x v="0"/>
  </r>
  <r>
    <x v="183"/>
    <n v="63"/>
    <n v="63"/>
    <x v="0"/>
  </r>
  <r>
    <x v="184"/>
    <n v="96"/>
    <n v="96"/>
    <x v="0"/>
  </r>
  <r>
    <x v="185"/>
    <n v="91"/>
    <n v="87"/>
    <x v="1"/>
  </r>
  <r>
    <x v="186"/>
    <n v="13"/>
    <n v="11"/>
    <x v="1"/>
  </r>
  <r>
    <x v="187"/>
    <n v="29"/>
    <n v="29"/>
    <x v="0"/>
  </r>
  <r>
    <x v="188"/>
    <n v="39"/>
    <n v="39"/>
    <x v="0"/>
  </r>
  <r>
    <x v="189"/>
    <n v="86"/>
    <n v="86"/>
    <x v="0"/>
  </r>
  <r>
    <x v="190"/>
    <n v="19"/>
    <n v="19"/>
    <x v="0"/>
  </r>
  <r>
    <x v="191"/>
    <n v="25"/>
    <n v="21"/>
    <x v="1"/>
  </r>
  <r>
    <x v="192"/>
    <n v="91"/>
    <n v="91"/>
    <x v="0"/>
  </r>
  <r>
    <x v="193"/>
    <n v="16"/>
    <n v="16"/>
    <x v="0"/>
  </r>
  <r>
    <x v="194"/>
    <n v="9"/>
    <n v="9"/>
    <x v="0"/>
  </r>
  <r>
    <x v="195"/>
    <n v="95"/>
    <n v="95"/>
    <x v="0"/>
  </r>
  <r>
    <x v="196"/>
    <n v="76"/>
    <n v="76"/>
    <x v="0"/>
  </r>
  <r>
    <x v="197"/>
    <n v="26"/>
    <n v="26"/>
    <x v="0"/>
  </r>
  <r>
    <x v="198"/>
    <n v="94"/>
    <n v="94"/>
    <x v="0"/>
  </r>
  <r>
    <x v="199"/>
    <n v="27"/>
    <n v="27"/>
    <x v="0"/>
  </r>
  <r>
    <x v="200"/>
    <n v="89"/>
    <n v="89"/>
    <x v="0"/>
  </r>
  <r>
    <x v="201"/>
    <n v="34"/>
    <n v="34"/>
    <x v="0"/>
  </r>
  <r>
    <x v="202"/>
    <n v="10"/>
    <n v="10"/>
    <x v="0"/>
  </r>
  <r>
    <x v="203"/>
    <n v="43"/>
    <n v="43"/>
    <x v="0"/>
  </r>
  <r>
    <x v="204"/>
    <n v="88"/>
    <n v="88"/>
    <x v="0"/>
  </r>
  <r>
    <x v="205"/>
    <n v="81"/>
    <n v="81"/>
    <x v="0"/>
  </r>
  <r>
    <x v="206"/>
    <n v="69"/>
    <n v="66"/>
    <x v="1"/>
  </r>
  <r>
    <x v="207"/>
    <n v="56"/>
    <n v="56"/>
    <x v="0"/>
  </r>
  <r>
    <x v="208"/>
    <n v="87"/>
    <n v="87"/>
    <x v="0"/>
  </r>
  <r>
    <x v="209"/>
    <n v="85"/>
    <n v="85"/>
    <x v="0"/>
  </r>
  <r>
    <x v="210"/>
    <n v="57"/>
    <n v="57"/>
    <x v="0"/>
  </r>
  <r>
    <x v="211"/>
    <n v="35"/>
    <n v="35"/>
    <x v="0"/>
  </r>
  <r>
    <x v="212"/>
    <n v="75"/>
    <n v="75"/>
    <x v="0"/>
  </r>
  <r>
    <x v="213"/>
    <n v="8"/>
    <n v="8"/>
    <x v="0"/>
  </r>
  <r>
    <x v="214"/>
    <n v="74"/>
    <n v="74"/>
    <x v="0"/>
  </r>
  <r>
    <x v="215"/>
    <n v="53"/>
    <n v="53"/>
    <x v="0"/>
  </r>
  <r>
    <x v="216"/>
    <n v="42"/>
    <n v="42"/>
    <x v="0"/>
  </r>
  <r>
    <x v="217"/>
    <n v="29"/>
    <n v="29"/>
    <x v="0"/>
  </r>
  <r>
    <x v="218"/>
    <n v="14"/>
    <n v="14"/>
    <x v="0"/>
  </r>
  <r>
    <x v="219"/>
    <n v="64"/>
    <n v="64"/>
    <x v="0"/>
  </r>
  <r>
    <x v="220"/>
    <n v="10"/>
    <n v="10"/>
    <x v="0"/>
  </r>
  <r>
    <x v="221"/>
    <n v="91"/>
    <n v="91"/>
    <x v="0"/>
  </r>
  <r>
    <x v="222"/>
    <n v="58"/>
    <n v="58"/>
    <x v="0"/>
  </r>
  <r>
    <x v="223"/>
    <n v="65"/>
    <n v="62"/>
    <x v="1"/>
  </r>
  <r>
    <x v="224"/>
    <n v="25"/>
    <n v="25"/>
    <x v="0"/>
  </r>
  <r>
    <x v="225"/>
    <n v="52"/>
    <n v="50"/>
    <x v="1"/>
  </r>
  <r>
    <x v="226"/>
    <n v="70"/>
    <n v="70"/>
    <x v="0"/>
  </r>
  <r>
    <x v="227"/>
    <n v="55"/>
    <n v="55"/>
    <x v="0"/>
  </r>
  <r>
    <x v="228"/>
    <n v="90"/>
    <n v="90"/>
    <x v="0"/>
  </r>
  <r>
    <x v="229"/>
    <n v="69"/>
    <n v="69"/>
    <x v="0"/>
  </r>
  <r>
    <x v="230"/>
    <n v="73"/>
    <n v="73"/>
    <x v="0"/>
  </r>
  <r>
    <x v="231"/>
    <n v="81"/>
    <n v="81"/>
    <x v="0"/>
  </r>
  <r>
    <x v="232"/>
    <n v="65"/>
    <n v="65"/>
    <x v="0"/>
  </r>
  <r>
    <x v="233"/>
    <n v="31"/>
    <n v="31"/>
    <x v="0"/>
  </r>
  <r>
    <x v="234"/>
    <n v="24"/>
    <n v="24"/>
    <x v="0"/>
  </r>
  <r>
    <x v="235"/>
    <n v="30"/>
    <n v="30"/>
    <x v="0"/>
  </r>
  <r>
    <x v="236"/>
    <n v="75"/>
    <n v="75"/>
    <x v="0"/>
  </r>
  <r>
    <x v="237"/>
    <n v="48"/>
    <n v="48"/>
    <x v="0"/>
  </r>
  <r>
    <x v="238"/>
    <n v="54"/>
    <n v="54"/>
    <x v="0"/>
  </r>
  <r>
    <x v="239"/>
    <n v="71"/>
    <n v="71"/>
    <x v="0"/>
  </r>
  <r>
    <x v="240"/>
    <n v="17"/>
    <n v="17"/>
    <x v="0"/>
  </r>
  <r>
    <x v="241"/>
    <n v="24"/>
    <n v="24"/>
    <x v="0"/>
  </r>
  <r>
    <x v="242"/>
    <n v="83"/>
    <n v="83"/>
    <x v="0"/>
  </r>
  <r>
    <x v="243"/>
    <n v="32"/>
    <n v="32"/>
    <x v="0"/>
  </r>
  <r>
    <x v="244"/>
    <n v="55"/>
    <n v="55"/>
    <x v="0"/>
  </r>
  <r>
    <x v="245"/>
    <n v="91"/>
    <n v="91"/>
    <x v="0"/>
  </r>
  <r>
    <x v="246"/>
    <n v="25"/>
    <n v="25"/>
    <x v="0"/>
  </r>
  <r>
    <x v="247"/>
    <n v="35"/>
    <n v="35"/>
    <x v="0"/>
  </r>
  <r>
    <x v="248"/>
    <n v="37"/>
    <n v="37"/>
    <x v="0"/>
  </r>
  <r>
    <x v="249"/>
    <n v="87"/>
    <n v="87"/>
    <x v="0"/>
  </r>
  <r>
    <x v="250"/>
    <n v="54"/>
    <n v="54"/>
    <x v="0"/>
  </r>
  <r>
    <x v="251"/>
    <n v="60"/>
    <n v="60"/>
    <x v="0"/>
  </r>
  <r>
    <x v="252"/>
    <n v="19"/>
    <n v="19"/>
    <x v="0"/>
  </r>
  <r>
    <x v="253"/>
    <n v="69"/>
    <n v="69"/>
    <x v="0"/>
  </r>
  <r>
    <x v="254"/>
    <n v="84"/>
    <n v="84"/>
    <x v="0"/>
  </r>
  <r>
    <x v="255"/>
    <n v="62"/>
    <n v="62"/>
    <x v="0"/>
  </r>
  <r>
    <x v="256"/>
    <n v="94"/>
    <n v="94"/>
    <x v="0"/>
  </r>
  <r>
    <x v="257"/>
    <n v="60"/>
    <n v="60"/>
    <x v="0"/>
  </r>
  <r>
    <x v="258"/>
    <n v="60"/>
    <n v="60"/>
    <x v="0"/>
  </r>
  <r>
    <x v="259"/>
    <n v="85"/>
    <n v="85"/>
    <x v="0"/>
  </r>
  <r>
    <x v="260"/>
    <n v="43"/>
    <n v="42"/>
    <x v="1"/>
  </r>
  <r>
    <x v="261"/>
    <n v="89"/>
    <n v="89"/>
    <x v="0"/>
  </r>
  <r>
    <x v="262"/>
    <n v="13"/>
    <n v="13"/>
    <x v="0"/>
  </r>
  <r>
    <x v="263"/>
    <n v="33"/>
    <n v="33"/>
    <x v="0"/>
  </r>
  <r>
    <x v="264"/>
    <n v="94"/>
    <n v="94"/>
    <x v="0"/>
  </r>
  <r>
    <x v="265"/>
    <n v="65"/>
    <n v="65"/>
    <x v="0"/>
  </r>
  <r>
    <x v="266"/>
    <n v="13"/>
    <n v="13"/>
    <x v="0"/>
  </r>
  <r>
    <x v="267"/>
    <n v="93"/>
    <n v="93"/>
    <x v="0"/>
  </r>
  <r>
    <x v="268"/>
    <n v="65"/>
    <n v="65"/>
    <x v="0"/>
  </r>
  <r>
    <x v="269"/>
    <n v="35"/>
    <n v="35"/>
    <x v="0"/>
  </r>
  <r>
    <x v="270"/>
    <n v="37"/>
    <n v="37"/>
    <x v="0"/>
  </r>
  <r>
    <x v="271"/>
    <n v="64"/>
    <n v="64"/>
    <x v="0"/>
  </r>
  <r>
    <x v="272"/>
    <n v="31"/>
    <n v="31"/>
    <x v="0"/>
  </r>
  <r>
    <x v="273"/>
    <n v="94"/>
    <n v="94"/>
    <x v="0"/>
  </r>
  <r>
    <x v="274"/>
    <n v="32"/>
    <n v="32"/>
    <x v="0"/>
  </r>
  <r>
    <x v="275"/>
    <n v="14"/>
    <n v="14"/>
    <x v="0"/>
  </r>
  <r>
    <x v="276"/>
    <n v="96"/>
    <n v="96"/>
    <x v="0"/>
  </r>
  <r>
    <x v="277"/>
    <n v="78"/>
    <n v="78"/>
    <x v="0"/>
  </r>
  <r>
    <x v="278"/>
    <n v="50"/>
    <n v="50"/>
    <x v="0"/>
  </r>
  <r>
    <x v="279"/>
    <n v="58"/>
    <n v="58"/>
    <x v="0"/>
  </r>
  <r>
    <x v="280"/>
    <n v="72"/>
    <n v="72"/>
    <x v="0"/>
  </r>
  <r>
    <x v="281"/>
    <n v="89"/>
    <n v="88"/>
    <x v="1"/>
  </r>
  <r>
    <x v="282"/>
    <n v="71"/>
    <n v="71"/>
    <x v="0"/>
  </r>
  <r>
    <x v="283"/>
    <n v="45"/>
    <n v="45"/>
    <x v="0"/>
  </r>
  <r>
    <x v="284"/>
    <n v="50"/>
    <n v="50"/>
    <x v="0"/>
  </r>
  <r>
    <x v="285"/>
    <n v="75"/>
    <n v="75"/>
    <x v="0"/>
  </r>
  <r>
    <x v="286"/>
    <n v="50"/>
    <n v="50"/>
    <x v="0"/>
  </r>
  <r>
    <x v="287"/>
    <n v="53"/>
    <n v="53"/>
    <x v="0"/>
  </r>
  <r>
    <x v="288"/>
    <n v="98"/>
    <n v="98"/>
    <x v="0"/>
  </r>
  <r>
    <x v="289"/>
    <n v="68"/>
    <n v="68"/>
    <x v="0"/>
  </r>
  <r>
    <x v="290"/>
    <n v="42"/>
    <n v="42"/>
    <x v="0"/>
  </r>
  <r>
    <x v="291"/>
    <n v="44"/>
    <n v="44"/>
    <x v="0"/>
  </r>
  <r>
    <x v="292"/>
    <n v="69"/>
    <n v="69"/>
    <x v="0"/>
  </r>
  <r>
    <x v="293"/>
    <n v="17"/>
    <n v="17"/>
    <x v="0"/>
  </r>
  <r>
    <x v="294"/>
    <n v="45"/>
    <n v="45"/>
    <x v="0"/>
  </r>
  <r>
    <x v="295"/>
    <n v="14"/>
    <n v="14"/>
    <x v="0"/>
  </r>
  <r>
    <x v="296"/>
    <n v="5"/>
    <n v="5"/>
    <x v="0"/>
  </r>
  <r>
    <x v="297"/>
    <n v="92"/>
    <n v="92"/>
    <x v="0"/>
  </r>
  <r>
    <x v="298"/>
    <n v="20"/>
    <n v="20"/>
    <x v="0"/>
  </r>
  <r>
    <x v="299"/>
    <n v="57"/>
    <n v="5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s v="C004"/>
    <x v="0"/>
    <n v="100"/>
    <n v="200000"/>
    <x v="0"/>
  </r>
  <r>
    <x v="1"/>
    <s v="C024"/>
    <x v="1"/>
    <n v="21"/>
    <n v="100000"/>
    <x v="1"/>
  </r>
  <r>
    <x v="2"/>
    <s v="C032"/>
    <x v="2"/>
    <n v="90"/>
    <n v="150000"/>
    <x v="2"/>
  </r>
  <r>
    <x v="3"/>
    <s v="C027"/>
    <x v="3"/>
    <n v="93"/>
    <n v="75000"/>
    <x v="3"/>
  </r>
  <r>
    <x v="4"/>
    <s v="C027"/>
    <x v="4"/>
    <n v="35"/>
    <n v="100000"/>
    <x v="4"/>
  </r>
  <r>
    <x v="5"/>
    <s v="C010"/>
    <x v="5"/>
    <n v="95"/>
    <n v="50000"/>
    <x v="5"/>
  </r>
  <r>
    <x v="6"/>
    <s v="C008"/>
    <x v="6"/>
    <n v="13"/>
    <n v="50000"/>
    <x v="6"/>
  </r>
  <r>
    <x v="7"/>
    <s v="C033"/>
    <x v="7"/>
    <n v="34"/>
    <n v="150000"/>
    <x v="7"/>
  </r>
  <r>
    <x v="8"/>
    <s v="C015"/>
    <x v="8"/>
    <n v="24"/>
    <n v="100000"/>
    <x v="8"/>
  </r>
  <r>
    <x v="9"/>
    <s v="C035"/>
    <x v="9"/>
    <n v="75"/>
    <n v="150000"/>
    <x v="9"/>
  </r>
  <r>
    <x v="10"/>
    <s v="C017"/>
    <x v="10"/>
    <n v="97"/>
    <n v="150000"/>
    <x v="10"/>
  </r>
  <r>
    <x v="11"/>
    <s v="C013"/>
    <x v="11"/>
    <n v="98"/>
    <n v="150000"/>
    <x v="11"/>
  </r>
  <r>
    <x v="12"/>
    <s v="C018"/>
    <x v="12"/>
    <n v="43"/>
    <n v="75000"/>
    <x v="12"/>
  </r>
  <r>
    <x v="13"/>
    <s v="C020"/>
    <x v="13"/>
    <n v="71"/>
    <n v="150000"/>
    <x v="13"/>
  </r>
  <r>
    <x v="14"/>
    <s v="C021"/>
    <x v="14"/>
    <n v="68"/>
    <n v="150000"/>
    <x v="14"/>
  </r>
  <r>
    <x v="15"/>
    <s v="C033"/>
    <x v="15"/>
    <n v="11"/>
    <n v="50000"/>
    <x v="15"/>
  </r>
  <r>
    <x v="16"/>
    <s v="C010"/>
    <x v="16"/>
    <n v="63"/>
    <n v="150000"/>
    <x v="16"/>
  </r>
  <r>
    <x v="17"/>
    <s v="C023"/>
    <x v="17"/>
    <n v="26"/>
    <n v="50000"/>
    <x v="17"/>
  </r>
  <r>
    <x v="18"/>
    <s v="C038"/>
    <x v="18"/>
    <n v="79"/>
    <n v="50000"/>
    <x v="18"/>
  </r>
  <r>
    <x v="19"/>
    <s v="C030"/>
    <x v="19"/>
    <n v="34"/>
    <n v="200000"/>
    <x v="19"/>
  </r>
  <r>
    <x v="20"/>
    <s v="C039"/>
    <x v="20"/>
    <n v="89"/>
    <n v="200000"/>
    <x v="20"/>
  </r>
  <r>
    <x v="21"/>
    <s v="C027"/>
    <x v="21"/>
    <n v="49"/>
    <n v="150000"/>
    <x v="21"/>
  </r>
  <r>
    <x v="22"/>
    <s v="C013"/>
    <x v="22"/>
    <n v="94"/>
    <n v="100000"/>
    <x v="22"/>
  </r>
  <r>
    <x v="23"/>
    <s v="C030"/>
    <x v="23"/>
    <n v="59"/>
    <n v="50000"/>
    <x v="23"/>
  </r>
  <r>
    <x v="24"/>
    <s v="C015"/>
    <x v="24"/>
    <n v="18"/>
    <n v="100000"/>
    <x v="24"/>
  </r>
  <r>
    <x v="25"/>
    <s v="C002"/>
    <x v="25"/>
    <n v="58"/>
    <n v="75000"/>
    <x v="25"/>
  </r>
  <r>
    <x v="26"/>
    <s v="C011"/>
    <x v="26"/>
    <n v="44"/>
    <n v="150000"/>
    <x v="26"/>
  </r>
  <r>
    <x v="27"/>
    <s v="C004"/>
    <x v="27"/>
    <n v="18"/>
    <n v="100000"/>
    <x v="24"/>
  </r>
  <r>
    <x v="28"/>
    <s v="C022"/>
    <x v="28"/>
    <n v="93"/>
    <n v="200000"/>
    <x v="27"/>
  </r>
  <r>
    <x v="29"/>
    <s v="C008"/>
    <x v="29"/>
    <n v="66"/>
    <n v="50000"/>
    <x v="28"/>
  </r>
  <r>
    <x v="30"/>
    <s v="C015"/>
    <x v="30"/>
    <n v="99"/>
    <n v="100000"/>
    <x v="29"/>
  </r>
  <r>
    <x v="31"/>
    <s v="C037"/>
    <x v="26"/>
    <n v="64"/>
    <n v="50000"/>
    <x v="30"/>
  </r>
  <r>
    <x v="32"/>
    <s v="C028"/>
    <x v="31"/>
    <n v="53"/>
    <n v="150000"/>
    <x v="31"/>
  </r>
  <r>
    <x v="33"/>
    <s v="C009"/>
    <x v="32"/>
    <n v="68"/>
    <n v="75000"/>
    <x v="7"/>
  </r>
  <r>
    <x v="34"/>
    <s v="C002"/>
    <x v="33"/>
    <n v="77"/>
    <n v="150000"/>
    <x v="32"/>
  </r>
  <r>
    <x v="35"/>
    <s v="C022"/>
    <x v="34"/>
    <n v="43"/>
    <n v="150000"/>
    <x v="33"/>
  </r>
  <r>
    <x v="36"/>
    <s v="C024"/>
    <x v="35"/>
    <n v="17"/>
    <n v="200000"/>
    <x v="34"/>
  </r>
  <r>
    <x v="37"/>
    <s v="C018"/>
    <x v="36"/>
    <n v="92"/>
    <n v="200000"/>
    <x v="35"/>
  </r>
  <r>
    <x v="38"/>
    <s v="C012"/>
    <x v="37"/>
    <n v="55"/>
    <n v="100000"/>
    <x v="36"/>
  </r>
  <r>
    <x v="39"/>
    <s v="C015"/>
    <x v="38"/>
    <n v="9"/>
    <n v="100000"/>
    <x v="37"/>
  </r>
  <r>
    <x v="40"/>
    <s v="C007"/>
    <x v="39"/>
    <n v="50"/>
    <n v="75000"/>
    <x v="38"/>
  </r>
  <r>
    <x v="41"/>
    <s v="C008"/>
    <x v="40"/>
    <n v="74"/>
    <n v="150000"/>
    <x v="39"/>
  </r>
  <r>
    <x v="42"/>
    <s v="C013"/>
    <x v="38"/>
    <n v="24"/>
    <n v="75000"/>
    <x v="24"/>
  </r>
  <r>
    <x v="43"/>
    <s v="C008"/>
    <x v="41"/>
    <n v="30"/>
    <n v="150000"/>
    <x v="40"/>
  </r>
  <r>
    <x v="44"/>
    <s v="C031"/>
    <x v="42"/>
    <n v="60"/>
    <n v="100000"/>
    <x v="41"/>
  </r>
  <r>
    <x v="45"/>
    <s v="C027"/>
    <x v="43"/>
    <n v="95"/>
    <n v="150000"/>
    <x v="42"/>
  </r>
  <r>
    <x v="46"/>
    <s v="C010"/>
    <x v="44"/>
    <n v="56"/>
    <n v="75000"/>
    <x v="43"/>
  </r>
  <r>
    <x v="47"/>
    <s v="C017"/>
    <x v="45"/>
    <n v="42"/>
    <n v="50000"/>
    <x v="1"/>
  </r>
  <r>
    <x v="48"/>
    <s v="C008"/>
    <x v="46"/>
    <n v="34"/>
    <n v="150000"/>
    <x v="7"/>
  </r>
  <r>
    <x v="49"/>
    <s v="C013"/>
    <x v="47"/>
    <n v="26"/>
    <n v="200000"/>
    <x v="44"/>
  </r>
  <r>
    <x v="50"/>
    <s v="C018"/>
    <x v="48"/>
    <n v="94"/>
    <n v="50000"/>
    <x v="45"/>
  </r>
  <r>
    <x v="51"/>
    <s v="C025"/>
    <x v="49"/>
    <n v="9"/>
    <n v="75000"/>
    <x v="46"/>
  </r>
  <r>
    <x v="52"/>
    <s v="C009"/>
    <x v="50"/>
    <n v="56"/>
    <n v="100000"/>
    <x v="47"/>
  </r>
  <r>
    <x v="53"/>
    <s v="C006"/>
    <x v="51"/>
    <n v="6"/>
    <n v="100000"/>
    <x v="48"/>
  </r>
  <r>
    <x v="54"/>
    <s v="C039"/>
    <x v="52"/>
    <n v="45"/>
    <n v="100000"/>
    <x v="40"/>
  </r>
  <r>
    <x v="55"/>
    <s v="C022"/>
    <x v="53"/>
    <n v="66"/>
    <n v="50000"/>
    <x v="28"/>
  </r>
  <r>
    <x v="56"/>
    <s v="C013"/>
    <x v="54"/>
    <n v="52"/>
    <n v="50000"/>
    <x v="49"/>
  </r>
  <r>
    <x v="57"/>
    <s v="C021"/>
    <x v="55"/>
    <n v="79"/>
    <n v="75000"/>
    <x v="50"/>
  </r>
  <r>
    <x v="58"/>
    <s v="C002"/>
    <x v="56"/>
    <n v="75"/>
    <n v="200000"/>
    <x v="51"/>
  </r>
  <r>
    <x v="59"/>
    <s v="C005"/>
    <x v="57"/>
    <n v="98"/>
    <n v="50000"/>
    <x v="52"/>
  </r>
  <r>
    <x v="60"/>
    <s v="C014"/>
    <x v="58"/>
    <n v="63"/>
    <n v="50000"/>
    <x v="53"/>
  </r>
  <r>
    <x v="61"/>
    <s v="C032"/>
    <x v="59"/>
    <n v="53"/>
    <n v="50000"/>
    <x v="54"/>
  </r>
  <r>
    <x v="62"/>
    <s v="C015"/>
    <x v="60"/>
    <n v="94"/>
    <n v="200000"/>
    <x v="55"/>
  </r>
  <r>
    <x v="63"/>
    <s v="C017"/>
    <x v="61"/>
    <n v="81"/>
    <n v="150000"/>
    <x v="56"/>
  </r>
  <r>
    <x v="64"/>
    <s v="C038"/>
    <x v="62"/>
    <n v="100"/>
    <n v="75000"/>
    <x v="57"/>
  </r>
  <r>
    <x v="65"/>
    <s v="C039"/>
    <x v="63"/>
    <n v="18"/>
    <n v="150000"/>
    <x v="58"/>
  </r>
  <r>
    <x v="66"/>
    <s v="C012"/>
    <x v="64"/>
    <n v="52"/>
    <n v="150000"/>
    <x v="59"/>
  </r>
  <r>
    <x v="67"/>
    <s v="C031"/>
    <x v="65"/>
    <n v="9"/>
    <n v="150000"/>
    <x v="60"/>
  </r>
  <r>
    <x v="68"/>
    <s v="C003"/>
    <x v="66"/>
    <n v="61"/>
    <n v="200000"/>
    <x v="61"/>
  </r>
  <r>
    <x v="69"/>
    <s v="C003"/>
    <x v="1"/>
    <n v="60"/>
    <n v="150000"/>
    <x v="62"/>
  </r>
  <r>
    <x v="70"/>
    <s v="C004"/>
    <x v="67"/>
    <n v="74"/>
    <n v="200000"/>
    <x v="63"/>
  </r>
  <r>
    <x v="71"/>
    <s v="C029"/>
    <x v="68"/>
    <n v="63"/>
    <n v="75000"/>
    <x v="64"/>
  </r>
  <r>
    <x v="72"/>
    <s v="C029"/>
    <x v="69"/>
    <n v="39"/>
    <n v="50000"/>
    <x v="65"/>
  </r>
  <r>
    <x v="73"/>
    <s v="C035"/>
    <x v="18"/>
    <n v="55"/>
    <n v="150000"/>
    <x v="66"/>
  </r>
  <r>
    <x v="74"/>
    <s v="C003"/>
    <x v="70"/>
    <n v="22"/>
    <n v="100000"/>
    <x v="67"/>
  </r>
  <r>
    <x v="75"/>
    <s v="C026"/>
    <x v="71"/>
    <n v="64"/>
    <n v="75000"/>
    <x v="68"/>
  </r>
  <r>
    <x v="76"/>
    <s v="C029"/>
    <x v="72"/>
    <n v="12"/>
    <n v="150000"/>
    <x v="24"/>
  </r>
  <r>
    <x v="77"/>
    <s v="C040"/>
    <x v="73"/>
    <n v="92"/>
    <n v="100000"/>
    <x v="69"/>
  </r>
  <r>
    <x v="78"/>
    <s v="C007"/>
    <x v="74"/>
    <n v="63"/>
    <n v="200000"/>
    <x v="70"/>
  </r>
  <r>
    <x v="79"/>
    <s v="C006"/>
    <x v="75"/>
    <n v="42"/>
    <n v="200000"/>
    <x v="71"/>
  </r>
  <r>
    <x v="80"/>
    <s v="C009"/>
    <x v="74"/>
    <n v="38"/>
    <n v="50000"/>
    <x v="72"/>
  </r>
  <r>
    <x v="81"/>
    <s v="C033"/>
    <x v="72"/>
    <n v="81"/>
    <n v="75000"/>
    <x v="73"/>
  </r>
  <r>
    <x v="82"/>
    <s v="C020"/>
    <x v="76"/>
    <n v="57"/>
    <n v="50000"/>
    <x v="74"/>
  </r>
  <r>
    <x v="83"/>
    <s v="C025"/>
    <x v="77"/>
    <n v="20"/>
    <n v="150000"/>
    <x v="75"/>
  </r>
  <r>
    <x v="84"/>
    <s v="C022"/>
    <x v="78"/>
    <n v="53"/>
    <n v="100000"/>
    <x v="76"/>
  </r>
  <r>
    <x v="85"/>
    <s v="C008"/>
    <x v="79"/>
    <n v="34"/>
    <n v="75000"/>
    <x v="77"/>
  </r>
  <r>
    <x v="86"/>
    <s v="C003"/>
    <x v="80"/>
    <n v="21"/>
    <n v="200000"/>
    <x v="43"/>
  </r>
  <r>
    <x v="87"/>
    <s v="C010"/>
    <x v="43"/>
    <n v="56"/>
    <n v="100000"/>
    <x v="47"/>
  </r>
  <r>
    <x v="88"/>
    <s v="C010"/>
    <x v="4"/>
    <n v="83"/>
    <n v="200000"/>
    <x v="78"/>
  </r>
  <r>
    <x v="89"/>
    <s v="C030"/>
    <x v="81"/>
    <n v="54"/>
    <n v="75000"/>
    <x v="79"/>
  </r>
  <r>
    <x v="90"/>
    <s v="C029"/>
    <x v="82"/>
    <n v="13"/>
    <n v="150000"/>
    <x v="65"/>
  </r>
  <r>
    <x v="91"/>
    <s v="C039"/>
    <x v="83"/>
    <n v="55"/>
    <n v="75000"/>
    <x v="80"/>
  </r>
  <r>
    <x v="92"/>
    <s v="C005"/>
    <x v="84"/>
    <n v="16"/>
    <n v="150000"/>
    <x v="8"/>
  </r>
  <r>
    <x v="93"/>
    <s v="C011"/>
    <x v="85"/>
    <n v="94"/>
    <n v="50000"/>
    <x v="45"/>
  </r>
  <r>
    <x v="94"/>
    <s v="C024"/>
    <x v="86"/>
    <n v="18"/>
    <n v="200000"/>
    <x v="81"/>
  </r>
  <r>
    <x v="95"/>
    <s v="C012"/>
    <x v="6"/>
    <n v="84"/>
    <n v="50000"/>
    <x v="43"/>
  </r>
  <r>
    <x v="96"/>
    <s v="C019"/>
    <x v="87"/>
    <n v="10"/>
    <n v="150000"/>
    <x v="82"/>
  </r>
  <r>
    <x v="97"/>
    <s v="C005"/>
    <x v="47"/>
    <n v="60"/>
    <n v="50000"/>
    <x v="75"/>
  </r>
  <r>
    <x v="98"/>
    <s v="C016"/>
    <x v="88"/>
    <n v="77"/>
    <n v="200000"/>
    <x v="83"/>
  </r>
  <r>
    <x v="99"/>
    <s v="C011"/>
    <x v="89"/>
    <n v="61"/>
    <n v="100000"/>
    <x v="84"/>
  </r>
  <r>
    <x v="100"/>
    <s v="C023"/>
    <x v="89"/>
    <n v="79"/>
    <n v="200000"/>
    <x v="85"/>
  </r>
  <r>
    <x v="101"/>
    <s v="C010"/>
    <x v="90"/>
    <n v="56"/>
    <n v="200000"/>
    <x v="86"/>
  </r>
  <r>
    <x v="102"/>
    <s v="C009"/>
    <x v="91"/>
    <n v="24"/>
    <n v="100000"/>
    <x v="8"/>
  </r>
  <r>
    <x v="103"/>
    <s v="C006"/>
    <x v="92"/>
    <n v="30"/>
    <n v="100000"/>
    <x v="75"/>
  </r>
  <r>
    <x v="104"/>
    <s v="C040"/>
    <x v="93"/>
    <n v="70"/>
    <n v="100000"/>
    <x v="87"/>
  </r>
  <r>
    <x v="105"/>
    <s v="C029"/>
    <x v="94"/>
    <n v="88"/>
    <n v="50000"/>
    <x v="88"/>
  </r>
  <r>
    <x v="106"/>
    <s v="C015"/>
    <x v="95"/>
    <n v="48"/>
    <n v="200000"/>
    <x v="89"/>
  </r>
  <r>
    <x v="107"/>
    <s v="C017"/>
    <x v="16"/>
    <n v="51"/>
    <n v="50000"/>
    <x v="77"/>
  </r>
  <r>
    <x v="108"/>
    <s v="C010"/>
    <x v="30"/>
    <n v="58"/>
    <n v="150000"/>
    <x v="90"/>
  </r>
  <r>
    <x v="109"/>
    <s v="C033"/>
    <x v="96"/>
    <n v="36"/>
    <n v="50000"/>
    <x v="24"/>
  </r>
  <r>
    <x v="110"/>
    <s v="C012"/>
    <x v="47"/>
    <n v="96"/>
    <n v="75000"/>
    <x v="91"/>
  </r>
  <r>
    <x v="111"/>
    <s v="C032"/>
    <x v="97"/>
    <n v="52"/>
    <n v="100000"/>
    <x v="44"/>
  </r>
  <r>
    <x v="112"/>
    <s v="C012"/>
    <x v="98"/>
    <n v="35"/>
    <n v="50000"/>
    <x v="92"/>
  </r>
  <r>
    <x v="113"/>
    <s v="C026"/>
    <x v="36"/>
    <n v="56"/>
    <n v="200000"/>
    <x v="86"/>
  </r>
  <r>
    <x v="114"/>
    <s v="C023"/>
    <x v="99"/>
    <n v="95"/>
    <n v="150000"/>
    <x v="42"/>
  </r>
  <r>
    <x v="115"/>
    <s v="C021"/>
    <x v="100"/>
    <n v="87"/>
    <n v="150000"/>
    <x v="93"/>
  </r>
  <r>
    <x v="116"/>
    <s v="C021"/>
    <x v="101"/>
    <n v="69"/>
    <n v="100000"/>
    <x v="94"/>
  </r>
  <r>
    <x v="117"/>
    <s v="C035"/>
    <x v="9"/>
    <n v="79"/>
    <n v="75000"/>
    <x v="50"/>
  </r>
  <r>
    <x v="118"/>
    <s v="C023"/>
    <x v="102"/>
    <n v="86"/>
    <n v="100000"/>
    <x v="95"/>
  </r>
  <r>
    <x v="119"/>
    <s v="C007"/>
    <x v="103"/>
    <n v="88"/>
    <n v="100000"/>
    <x v="96"/>
  </r>
  <r>
    <x v="120"/>
    <s v="C011"/>
    <x v="43"/>
    <n v="22"/>
    <n v="50000"/>
    <x v="97"/>
  </r>
  <r>
    <x v="121"/>
    <s v="C012"/>
    <x v="64"/>
    <n v="69"/>
    <n v="100000"/>
    <x v="94"/>
  </r>
  <r>
    <x v="122"/>
    <s v="C035"/>
    <x v="55"/>
    <n v="42"/>
    <n v="100000"/>
    <x v="43"/>
  </r>
  <r>
    <x v="123"/>
    <s v="C016"/>
    <x v="104"/>
    <n v="63"/>
    <n v="75000"/>
    <x v="64"/>
  </r>
  <r>
    <x v="124"/>
    <s v="C028"/>
    <x v="30"/>
    <n v="64"/>
    <n v="200000"/>
    <x v="98"/>
  </r>
  <r>
    <x v="125"/>
    <s v="C030"/>
    <x v="105"/>
    <n v="16"/>
    <n v="100000"/>
    <x v="99"/>
  </r>
  <r>
    <x v="126"/>
    <s v="C039"/>
    <x v="24"/>
    <n v="32"/>
    <n v="75000"/>
    <x v="8"/>
  </r>
  <r>
    <x v="127"/>
    <s v="C019"/>
    <x v="43"/>
    <n v="24"/>
    <n v="100000"/>
    <x v="8"/>
  </r>
  <r>
    <x v="128"/>
    <s v="C019"/>
    <x v="106"/>
    <n v="20"/>
    <n v="100000"/>
    <x v="100"/>
  </r>
  <r>
    <x v="129"/>
    <s v="C038"/>
    <x v="100"/>
    <n v="10"/>
    <n v="200000"/>
    <x v="100"/>
  </r>
  <r>
    <x v="130"/>
    <s v="C014"/>
    <x v="107"/>
    <n v="50"/>
    <n v="200000"/>
    <x v="101"/>
  </r>
  <r>
    <x v="131"/>
    <s v="C011"/>
    <x v="76"/>
    <n v="9"/>
    <n v="200000"/>
    <x v="24"/>
  </r>
  <r>
    <x v="132"/>
    <s v="C004"/>
    <x v="72"/>
    <n v="74"/>
    <n v="75000"/>
    <x v="102"/>
  </r>
  <r>
    <x v="133"/>
    <s v="C022"/>
    <x v="108"/>
    <n v="61"/>
    <n v="50000"/>
    <x v="103"/>
  </r>
  <r>
    <x v="134"/>
    <s v="C006"/>
    <x v="15"/>
    <n v="41"/>
    <n v="100000"/>
    <x v="104"/>
  </r>
  <r>
    <x v="135"/>
    <s v="C030"/>
    <x v="109"/>
    <n v="19"/>
    <n v="150000"/>
    <x v="74"/>
  </r>
  <r>
    <x v="136"/>
    <s v="C039"/>
    <x v="94"/>
    <n v="79"/>
    <n v="100000"/>
    <x v="105"/>
  </r>
  <r>
    <x v="137"/>
    <s v="C016"/>
    <x v="110"/>
    <n v="43"/>
    <n v="75000"/>
    <x v="12"/>
  </r>
  <r>
    <x v="138"/>
    <s v="C024"/>
    <x v="111"/>
    <n v="20"/>
    <n v="200000"/>
    <x v="106"/>
  </r>
  <r>
    <x v="139"/>
    <s v="C014"/>
    <x v="112"/>
    <n v="97"/>
    <n v="100000"/>
    <x v="107"/>
  </r>
  <r>
    <x v="140"/>
    <s v="C006"/>
    <x v="86"/>
    <n v="82"/>
    <n v="200000"/>
    <x v="108"/>
  </r>
  <r>
    <x v="141"/>
    <s v="C019"/>
    <x v="113"/>
    <n v="82"/>
    <n v="75000"/>
    <x v="109"/>
  </r>
  <r>
    <x v="142"/>
    <s v="C036"/>
    <x v="114"/>
    <n v="51"/>
    <n v="100000"/>
    <x v="7"/>
  </r>
  <r>
    <x v="143"/>
    <s v="C008"/>
    <x v="11"/>
    <n v="79"/>
    <n v="200000"/>
    <x v="85"/>
  </r>
  <r>
    <x v="144"/>
    <s v="C033"/>
    <x v="6"/>
    <n v="57"/>
    <n v="150000"/>
    <x v="110"/>
  </r>
  <r>
    <x v="145"/>
    <s v="C021"/>
    <x v="11"/>
    <n v="78"/>
    <n v="100000"/>
    <x v="59"/>
  </r>
  <r>
    <x v="146"/>
    <s v="C034"/>
    <x v="115"/>
    <n v="96"/>
    <n v="150000"/>
    <x v="111"/>
  </r>
  <r>
    <x v="147"/>
    <s v="C008"/>
    <x v="116"/>
    <n v="52"/>
    <n v="50000"/>
    <x v="49"/>
  </r>
  <r>
    <x v="148"/>
    <s v="C010"/>
    <x v="12"/>
    <n v="34"/>
    <n v="75000"/>
    <x v="77"/>
  </r>
  <r>
    <x v="149"/>
    <s v="C038"/>
    <x v="117"/>
    <n v="83"/>
    <n v="100000"/>
    <x v="112"/>
  </r>
  <r>
    <x v="150"/>
    <s v="C014"/>
    <x v="118"/>
    <n v="85"/>
    <n v="50000"/>
    <x v="113"/>
  </r>
  <r>
    <x v="151"/>
    <s v="C008"/>
    <x v="60"/>
    <n v="32"/>
    <n v="100000"/>
    <x v="30"/>
  </r>
  <r>
    <x v="152"/>
    <s v="C007"/>
    <x v="119"/>
    <n v="18"/>
    <n v="150000"/>
    <x v="58"/>
  </r>
  <r>
    <x v="153"/>
    <s v="C020"/>
    <x v="4"/>
    <n v="53"/>
    <n v="100000"/>
    <x v="76"/>
  </r>
  <r>
    <x v="154"/>
    <s v="C039"/>
    <x v="120"/>
    <n v="55"/>
    <n v="100000"/>
    <x v="36"/>
  </r>
  <r>
    <x v="155"/>
    <s v="C012"/>
    <x v="121"/>
    <n v="82"/>
    <n v="50000"/>
    <x v="104"/>
  </r>
  <r>
    <x v="156"/>
    <s v="C039"/>
    <x v="47"/>
    <n v="87"/>
    <n v="100000"/>
    <x v="90"/>
  </r>
  <r>
    <x v="157"/>
    <s v="C013"/>
    <x v="122"/>
    <n v="92"/>
    <n v="150000"/>
    <x v="114"/>
  </r>
  <r>
    <x v="158"/>
    <s v="C014"/>
    <x v="123"/>
    <n v="17"/>
    <n v="100000"/>
    <x v="115"/>
  </r>
  <r>
    <x v="159"/>
    <s v="C009"/>
    <x v="124"/>
    <n v="21"/>
    <n v="100000"/>
    <x v="1"/>
  </r>
  <r>
    <x v="160"/>
    <s v="C005"/>
    <x v="125"/>
    <n v="42"/>
    <n v="200000"/>
    <x v="71"/>
  </r>
  <r>
    <x v="161"/>
    <s v="C014"/>
    <x v="126"/>
    <n v="8"/>
    <n v="100000"/>
    <x v="116"/>
  </r>
  <r>
    <x v="162"/>
    <s v="C008"/>
    <x v="127"/>
    <n v="97"/>
    <n v="150000"/>
    <x v="10"/>
  </r>
  <r>
    <x v="163"/>
    <s v="C021"/>
    <x v="128"/>
    <n v="67"/>
    <n v="200000"/>
    <x v="117"/>
  </r>
  <r>
    <x v="164"/>
    <s v="C028"/>
    <x v="12"/>
    <n v="82"/>
    <n v="50000"/>
    <x v="104"/>
  </r>
  <r>
    <x v="165"/>
    <s v="C011"/>
    <x v="78"/>
    <n v="44"/>
    <n v="200000"/>
    <x v="96"/>
  </r>
  <r>
    <x v="166"/>
    <s v="C016"/>
    <x v="108"/>
    <n v="9"/>
    <n v="150000"/>
    <x v="60"/>
  </r>
  <r>
    <x v="167"/>
    <s v="C025"/>
    <x v="30"/>
    <n v="77"/>
    <n v="75000"/>
    <x v="118"/>
  </r>
  <r>
    <x v="168"/>
    <s v="C033"/>
    <x v="129"/>
    <n v="35"/>
    <n v="50000"/>
    <x v="92"/>
  </r>
  <r>
    <x v="169"/>
    <s v="C010"/>
    <x v="130"/>
    <n v="6"/>
    <n v="50000"/>
    <x v="119"/>
  </r>
  <r>
    <x v="170"/>
    <s v="C022"/>
    <x v="13"/>
    <n v="21"/>
    <n v="50000"/>
    <x v="120"/>
  </r>
  <r>
    <x v="171"/>
    <s v="C036"/>
    <x v="131"/>
    <n v="13"/>
    <n v="150000"/>
    <x v="65"/>
  </r>
  <r>
    <x v="172"/>
    <s v="C002"/>
    <x v="9"/>
    <n v="12"/>
    <n v="50000"/>
    <x v="48"/>
  </r>
  <r>
    <x v="173"/>
    <s v="C029"/>
    <x v="42"/>
    <n v="7"/>
    <n v="50000"/>
    <x v="121"/>
  </r>
  <r>
    <x v="174"/>
    <s v="C013"/>
    <x v="132"/>
    <n v="80"/>
    <n v="150000"/>
    <x v="122"/>
  </r>
  <r>
    <x v="175"/>
    <s v="C003"/>
    <x v="133"/>
    <n v="12"/>
    <n v="100000"/>
    <x v="123"/>
  </r>
  <r>
    <x v="176"/>
    <s v="C039"/>
    <x v="30"/>
    <n v="50"/>
    <n v="200000"/>
    <x v="101"/>
  </r>
  <r>
    <x v="177"/>
    <s v="C013"/>
    <x v="134"/>
    <n v="77"/>
    <n v="200000"/>
    <x v="83"/>
  </r>
  <r>
    <x v="178"/>
    <s v="C001"/>
    <x v="135"/>
    <n v="45"/>
    <n v="100000"/>
    <x v="40"/>
  </r>
  <r>
    <x v="179"/>
    <s v="C031"/>
    <x v="45"/>
    <n v="85"/>
    <n v="100000"/>
    <x v="124"/>
  </r>
  <r>
    <x v="180"/>
    <s v="C034"/>
    <x v="96"/>
    <n v="32"/>
    <n v="75000"/>
    <x v="8"/>
  </r>
  <r>
    <x v="181"/>
    <s v="C034"/>
    <x v="107"/>
    <n v="19"/>
    <n v="75000"/>
    <x v="125"/>
  </r>
  <r>
    <x v="182"/>
    <s v="C038"/>
    <x v="136"/>
    <n v="94"/>
    <n v="200000"/>
    <x v="55"/>
  </r>
  <r>
    <x v="183"/>
    <s v="C040"/>
    <x v="137"/>
    <n v="63"/>
    <n v="50000"/>
    <x v="53"/>
  </r>
  <r>
    <x v="184"/>
    <s v="C027"/>
    <x v="96"/>
    <n v="96"/>
    <n v="100000"/>
    <x v="89"/>
  </r>
  <r>
    <x v="185"/>
    <s v="C038"/>
    <x v="86"/>
    <n v="91"/>
    <n v="75000"/>
    <x v="126"/>
  </r>
  <r>
    <x v="186"/>
    <s v="C033"/>
    <x v="138"/>
    <n v="13"/>
    <n v="75000"/>
    <x v="127"/>
  </r>
  <r>
    <x v="187"/>
    <s v="C003"/>
    <x v="139"/>
    <n v="29"/>
    <n v="50000"/>
    <x v="128"/>
  </r>
  <r>
    <x v="188"/>
    <s v="C004"/>
    <x v="100"/>
    <n v="39"/>
    <n v="200000"/>
    <x v="59"/>
  </r>
  <r>
    <x v="189"/>
    <s v="C021"/>
    <x v="140"/>
    <n v="86"/>
    <n v="200000"/>
    <x v="129"/>
  </r>
  <r>
    <x v="190"/>
    <s v="C040"/>
    <x v="141"/>
    <n v="19"/>
    <n v="75000"/>
    <x v="125"/>
  </r>
  <r>
    <x v="191"/>
    <s v="C032"/>
    <x v="83"/>
    <n v="25"/>
    <n v="100000"/>
    <x v="130"/>
  </r>
  <r>
    <x v="192"/>
    <s v="C028"/>
    <x v="142"/>
    <n v="91"/>
    <n v="200000"/>
    <x v="131"/>
  </r>
  <r>
    <x v="193"/>
    <s v="C028"/>
    <x v="127"/>
    <n v="16"/>
    <n v="75000"/>
    <x v="123"/>
  </r>
  <r>
    <x v="194"/>
    <s v="C033"/>
    <x v="143"/>
    <n v="9"/>
    <n v="50000"/>
    <x v="132"/>
  </r>
  <r>
    <x v="195"/>
    <s v="C015"/>
    <x v="144"/>
    <n v="95"/>
    <n v="75000"/>
    <x v="133"/>
  </r>
  <r>
    <x v="196"/>
    <s v="C020"/>
    <x v="68"/>
    <n v="76"/>
    <n v="150000"/>
    <x v="134"/>
  </r>
  <r>
    <x v="197"/>
    <s v="C031"/>
    <x v="12"/>
    <n v="26"/>
    <n v="200000"/>
    <x v="44"/>
  </r>
  <r>
    <x v="198"/>
    <s v="C021"/>
    <x v="145"/>
    <n v="94"/>
    <n v="75000"/>
    <x v="135"/>
  </r>
  <r>
    <x v="199"/>
    <s v="C017"/>
    <x v="4"/>
    <n v="27"/>
    <n v="50000"/>
    <x v="60"/>
  </r>
  <r>
    <x v="200"/>
    <s v="C024"/>
    <x v="146"/>
    <n v="89"/>
    <n v="75000"/>
    <x v="136"/>
  </r>
  <r>
    <x v="201"/>
    <s v="C003"/>
    <x v="147"/>
    <n v="34"/>
    <n v="150000"/>
    <x v="7"/>
  </r>
  <r>
    <x v="202"/>
    <s v="C010"/>
    <x v="77"/>
    <n v="10"/>
    <n v="100000"/>
    <x v="137"/>
  </r>
  <r>
    <x v="203"/>
    <s v="C037"/>
    <x v="148"/>
    <n v="43"/>
    <n v="100000"/>
    <x v="138"/>
  </r>
  <r>
    <x v="204"/>
    <s v="C006"/>
    <x v="85"/>
    <n v="88"/>
    <n v="75000"/>
    <x v="26"/>
  </r>
  <r>
    <x v="205"/>
    <s v="C033"/>
    <x v="149"/>
    <n v="81"/>
    <n v="50000"/>
    <x v="79"/>
  </r>
  <r>
    <x v="206"/>
    <s v="C024"/>
    <x v="150"/>
    <n v="69"/>
    <n v="75000"/>
    <x v="139"/>
  </r>
  <r>
    <x v="207"/>
    <s v="C006"/>
    <x v="108"/>
    <n v="56"/>
    <n v="200000"/>
    <x v="86"/>
  </r>
  <r>
    <x v="208"/>
    <s v="C005"/>
    <x v="151"/>
    <n v="87"/>
    <n v="150000"/>
    <x v="93"/>
  </r>
  <r>
    <x v="209"/>
    <s v="C009"/>
    <x v="151"/>
    <n v="85"/>
    <n v="75000"/>
    <x v="140"/>
  </r>
  <r>
    <x v="210"/>
    <s v="C005"/>
    <x v="127"/>
    <n v="57"/>
    <n v="200000"/>
    <x v="134"/>
  </r>
  <r>
    <x v="211"/>
    <s v="C035"/>
    <x v="152"/>
    <n v="35"/>
    <n v="75000"/>
    <x v="141"/>
  </r>
  <r>
    <x v="212"/>
    <s v="C028"/>
    <x v="0"/>
    <n v="75"/>
    <n v="200000"/>
    <x v="51"/>
  </r>
  <r>
    <x v="213"/>
    <s v="C038"/>
    <x v="153"/>
    <n v="8"/>
    <n v="150000"/>
    <x v="123"/>
  </r>
  <r>
    <x v="214"/>
    <s v="C037"/>
    <x v="154"/>
    <n v="74"/>
    <n v="200000"/>
    <x v="63"/>
  </r>
  <r>
    <x v="215"/>
    <s v="C016"/>
    <x v="82"/>
    <n v="53"/>
    <n v="150000"/>
    <x v="31"/>
  </r>
  <r>
    <x v="216"/>
    <s v="C032"/>
    <x v="108"/>
    <n v="42"/>
    <n v="100000"/>
    <x v="43"/>
  </r>
  <r>
    <x v="217"/>
    <s v="C038"/>
    <x v="155"/>
    <n v="29"/>
    <n v="50000"/>
    <x v="128"/>
  </r>
  <r>
    <x v="218"/>
    <s v="C037"/>
    <x v="156"/>
    <n v="14"/>
    <n v="50000"/>
    <x v="142"/>
  </r>
  <r>
    <x v="219"/>
    <s v="C009"/>
    <x v="157"/>
    <n v="64"/>
    <n v="150000"/>
    <x v="89"/>
  </r>
  <r>
    <x v="220"/>
    <s v="C014"/>
    <x v="158"/>
    <n v="10"/>
    <n v="200000"/>
    <x v="100"/>
  </r>
  <r>
    <x v="221"/>
    <s v="C016"/>
    <x v="159"/>
    <n v="91"/>
    <n v="75000"/>
    <x v="126"/>
  </r>
  <r>
    <x v="222"/>
    <s v="C035"/>
    <x v="69"/>
    <n v="58"/>
    <n v="200000"/>
    <x v="143"/>
  </r>
  <r>
    <x v="223"/>
    <s v="C036"/>
    <x v="30"/>
    <n v="65"/>
    <n v="100000"/>
    <x v="144"/>
  </r>
  <r>
    <x v="224"/>
    <s v="C038"/>
    <x v="160"/>
    <n v="25"/>
    <n v="200000"/>
    <x v="145"/>
  </r>
  <r>
    <x v="225"/>
    <s v="C034"/>
    <x v="161"/>
    <n v="52"/>
    <n v="150000"/>
    <x v="59"/>
  </r>
  <r>
    <x v="226"/>
    <s v="C014"/>
    <x v="162"/>
    <n v="70"/>
    <n v="75000"/>
    <x v="146"/>
  </r>
  <r>
    <x v="227"/>
    <s v="C034"/>
    <x v="163"/>
    <n v="55"/>
    <n v="100000"/>
    <x v="36"/>
  </r>
  <r>
    <x v="228"/>
    <s v="C037"/>
    <x v="164"/>
    <n v="90"/>
    <n v="75000"/>
    <x v="147"/>
  </r>
  <r>
    <x v="229"/>
    <s v="C007"/>
    <x v="165"/>
    <n v="69"/>
    <n v="50000"/>
    <x v="148"/>
  </r>
  <r>
    <x v="230"/>
    <s v="C029"/>
    <x v="61"/>
    <n v="73"/>
    <n v="150000"/>
    <x v="149"/>
  </r>
  <r>
    <x v="231"/>
    <s v="C027"/>
    <x v="68"/>
    <n v="81"/>
    <n v="100000"/>
    <x v="150"/>
  </r>
  <r>
    <x v="232"/>
    <s v="C026"/>
    <x v="166"/>
    <n v="65"/>
    <n v="200000"/>
    <x v="151"/>
  </r>
  <r>
    <x v="233"/>
    <s v="C033"/>
    <x v="109"/>
    <n v="31"/>
    <n v="200000"/>
    <x v="152"/>
  </r>
  <r>
    <x v="234"/>
    <s v="C038"/>
    <x v="130"/>
    <n v="24"/>
    <n v="200000"/>
    <x v="68"/>
  </r>
  <r>
    <x v="235"/>
    <s v="C029"/>
    <x v="19"/>
    <n v="30"/>
    <n v="75000"/>
    <x v="153"/>
  </r>
  <r>
    <x v="236"/>
    <s v="C007"/>
    <x v="109"/>
    <n v="75"/>
    <n v="100000"/>
    <x v="57"/>
  </r>
  <r>
    <x v="237"/>
    <s v="C034"/>
    <x v="37"/>
    <n v="48"/>
    <n v="200000"/>
    <x v="89"/>
  </r>
  <r>
    <x v="238"/>
    <s v="C013"/>
    <x v="167"/>
    <n v="54"/>
    <n v="75000"/>
    <x v="79"/>
  </r>
  <r>
    <x v="239"/>
    <s v="C020"/>
    <x v="168"/>
    <n v="71"/>
    <n v="200000"/>
    <x v="154"/>
  </r>
  <r>
    <x v="240"/>
    <s v="C021"/>
    <x v="169"/>
    <n v="17"/>
    <n v="75000"/>
    <x v="155"/>
  </r>
  <r>
    <x v="241"/>
    <s v="C033"/>
    <x v="155"/>
    <n v="24"/>
    <n v="150000"/>
    <x v="81"/>
  </r>
  <r>
    <x v="242"/>
    <s v="C016"/>
    <x v="170"/>
    <n v="83"/>
    <n v="50000"/>
    <x v="156"/>
  </r>
  <r>
    <x v="243"/>
    <s v="C002"/>
    <x v="171"/>
    <n v="32"/>
    <n v="50000"/>
    <x v="99"/>
  </r>
  <r>
    <x v="244"/>
    <s v="C015"/>
    <x v="172"/>
    <n v="55"/>
    <n v="100000"/>
    <x v="36"/>
  </r>
  <r>
    <x v="245"/>
    <s v="C005"/>
    <x v="66"/>
    <n v="91"/>
    <n v="50000"/>
    <x v="157"/>
  </r>
  <r>
    <x v="246"/>
    <s v="C006"/>
    <x v="173"/>
    <n v="25"/>
    <n v="75000"/>
    <x v="158"/>
  </r>
  <r>
    <x v="247"/>
    <s v="C034"/>
    <x v="174"/>
    <n v="35"/>
    <n v="100000"/>
    <x v="4"/>
  </r>
  <r>
    <x v="248"/>
    <s v="C034"/>
    <x v="81"/>
    <n v="37"/>
    <n v="75000"/>
    <x v="159"/>
  </r>
  <r>
    <x v="249"/>
    <s v="C014"/>
    <x v="175"/>
    <n v="87"/>
    <n v="150000"/>
    <x v="93"/>
  </r>
  <r>
    <x v="250"/>
    <s v="C028"/>
    <x v="2"/>
    <n v="54"/>
    <n v="100000"/>
    <x v="160"/>
  </r>
  <r>
    <x v="251"/>
    <s v="C023"/>
    <x v="100"/>
    <n v="60"/>
    <n v="50000"/>
    <x v="75"/>
  </r>
  <r>
    <x v="252"/>
    <s v="C006"/>
    <x v="100"/>
    <n v="19"/>
    <n v="200000"/>
    <x v="161"/>
  </r>
  <r>
    <x v="253"/>
    <s v="C005"/>
    <x v="176"/>
    <n v="69"/>
    <n v="100000"/>
    <x v="94"/>
  </r>
  <r>
    <x v="254"/>
    <s v="C005"/>
    <x v="124"/>
    <n v="84"/>
    <n v="50000"/>
    <x v="43"/>
  </r>
  <r>
    <x v="255"/>
    <s v="C026"/>
    <x v="177"/>
    <n v="62"/>
    <n v="75000"/>
    <x v="162"/>
  </r>
  <r>
    <x v="256"/>
    <s v="C006"/>
    <x v="79"/>
    <n v="94"/>
    <n v="200000"/>
    <x v="55"/>
  </r>
  <r>
    <x v="257"/>
    <s v="C013"/>
    <x v="13"/>
    <n v="60"/>
    <n v="50000"/>
    <x v="75"/>
  </r>
  <r>
    <x v="258"/>
    <s v="C010"/>
    <x v="178"/>
    <n v="60"/>
    <n v="200000"/>
    <x v="122"/>
  </r>
  <r>
    <x v="259"/>
    <s v="C019"/>
    <x v="179"/>
    <n v="85"/>
    <n v="150000"/>
    <x v="163"/>
  </r>
  <r>
    <x v="260"/>
    <s v="C001"/>
    <x v="180"/>
    <n v="43"/>
    <n v="50000"/>
    <x v="164"/>
  </r>
  <r>
    <x v="261"/>
    <s v="C008"/>
    <x v="77"/>
    <n v="89"/>
    <n v="100000"/>
    <x v="165"/>
  </r>
  <r>
    <x v="262"/>
    <s v="C001"/>
    <x v="181"/>
    <n v="13"/>
    <n v="75000"/>
    <x v="127"/>
  </r>
  <r>
    <x v="263"/>
    <s v="C021"/>
    <x v="95"/>
    <n v="33"/>
    <n v="150000"/>
    <x v="166"/>
  </r>
  <r>
    <x v="264"/>
    <s v="C035"/>
    <x v="182"/>
    <n v="94"/>
    <n v="150000"/>
    <x v="167"/>
  </r>
  <r>
    <x v="265"/>
    <s v="C017"/>
    <x v="129"/>
    <n v="65"/>
    <n v="200000"/>
    <x v="151"/>
  </r>
  <r>
    <x v="266"/>
    <s v="C008"/>
    <x v="183"/>
    <n v="13"/>
    <n v="100000"/>
    <x v="17"/>
  </r>
  <r>
    <x v="267"/>
    <s v="C036"/>
    <x v="154"/>
    <n v="93"/>
    <n v="200000"/>
    <x v="27"/>
  </r>
  <r>
    <x v="268"/>
    <s v="C024"/>
    <x v="184"/>
    <n v="65"/>
    <n v="150000"/>
    <x v="168"/>
  </r>
  <r>
    <x v="269"/>
    <s v="C021"/>
    <x v="185"/>
    <n v="35"/>
    <n v="200000"/>
    <x v="87"/>
  </r>
  <r>
    <x v="270"/>
    <s v="C020"/>
    <x v="186"/>
    <n v="37"/>
    <n v="75000"/>
    <x v="159"/>
  </r>
  <r>
    <x v="271"/>
    <s v="C001"/>
    <x v="38"/>
    <n v="64"/>
    <n v="75000"/>
    <x v="68"/>
  </r>
  <r>
    <x v="272"/>
    <s v="C002"/>
    <x v="29"/>
    <n v="31"/>
    <n v="75000"/>
    <x v="169"/>
  </r>
  <r>
    <x v="273"/>
    <s v="C040"/>
    <x v="167"/>
    <n v="94"/>
    <n v="100000"/>
    <x v="22"/>
  </r>
  <r>
    <x v="274"/>
    <s v="C004"/>
    <x v="187"/>
    <n v="32"/>
    <n v="200000"/>
    <x v="170"/>
  </r>
  <r>
    <x v="275"/>
    <s v="C022"/>
    <x v="32"/>
    <n v="14"/>
    <n v="150000"/>
    <x v="1"/>
  </r>
  <r>
    <x v="276"/>
    <s v="C015"/>
    <x v="114"/>
    <n v="96"/>
    <n v="50000"/>
    <x v="68"/>
  </r>
  <r>
    <x v="277"/>
    <s v="C024"/>
    <x v="11"/>
    <n v="78"/>
    <n v="50000"/>
    <x v="171"/>
  </r>
  <r>
    <x v="278"/>
    <s v="C010"/>
    <x v="188"/>
    <n v="50"/>
    <n v="100000"/>
    <x v="145"/>
  </r>
  <r>
    <x v="279"/>
    <s v="C027"/>
    <x v="137"/>
    <n v="58"/>
    <n v="150000"/>
    <x v="90"/>
  </r>
  <r>
    <x v="280"/>
    <s v="C032"/>
    <x v="152"/>
    <n v="72"/>
    <n v="50000"/>
    <x v="81"/>
  </r>
  <r>
    <x v="281"/>
    <s v="C006"/>
    <x v="82"/>
    <n v="89"/>
    <n v="75000"/>
    <x v="136"/>
  </r>
  <r>
    <x v="282"/>
    <s v="C031"/>
    <x v="96"/>
    <n v="71"/>
    <n v="50000"/>
    <x v="172"/>
  </r>
  <r>
    <x v="283"/>
    <s v="C028"/>
    <x v="189"/>
    <n v="45"/>
    <n v="150000"/>
    <x v="147"/>
  </r>
  <r>
    <x v="284"/>
    <s v="C016"/>
    <x v="0"/>
    <n v="50"/>
    <n v="75000"/>
    <x v="38"/>
  </r>
  <r>
    <x v="285"/>
    <s v="C017"/>
    <x v="190"/>
    <n v="75"/>
    <n v="50000"/>
    <x v="38"/>
  </r>
  <r>
    <x v="286"/>
    <s v="C031"/>
    <x v="191"/>
    <n v="50"/>
    <n v="50000"/>
    <x v="130"/>
  </r>
  <r>
    <x v="287"/>
    <s v="C025"/>
    <x v="192"/>
    <n v="53"/>
    <n v="50000"/>
    <x v="54"/>
  </r>
  <r>
    <x v="288"/>
    <s v="C012"/>
    <x v="193"/>
    <n v="98"/>
    <n v="50000"/>
    <x v="52"/>
  </r>
  <r>
    <x v="289"/>
    <s v="C020"/>
    <x v="116"/>
    <n v="68"/>
    <n v="150000"/>
    <x v="14"/>
  </r>
  <r>
    <x v="290"/>
    <s v="C007"/>
    <x v="115"/>
    <n v="42"/>
    <n v="50000"/>
    <x v="1"/>
  </r>
  <r>
    <x v="291"/>
    <s v="C014"/>
    <x v="185"/>
    <n v="44"/>
    <n v="100000"/>
    <x v="88"/>
  </r>
  <r>
    <x v="292"/>
    <s v="C025"/>
    <x v="194"/>
    <n v="69"/>
    <n v="75000"/>
    <x v="139"/>
  </r>
  <r>
    <x v="293"/>
    <s v="C007"/>
    <x v="195"/>
    <n v="17"/>
    <n v="100000"/>
    <x v="115"/>
  </r>
  <r>
    <x v="294"/>
    <s v="C012"/>
    <x v="68"/>
    <n v="45"/>
    <n v="100000"/>
    <x v="40"/>
  </r>
  <r>
    <x v="295"/>
    <s v="C018"/>
    <x v="115"/>
    <n v="14"/>
    <n v="200000"/>
    <x v="173"/>
  </r>
  <r>
    <x v="296"/>
    <s v="C038"/>
    <x v="196"/>
    <n v="5"/>
    <n v="100000"/>
    <x v="174"/>
  </r>
  <r>
    <x v="297"/>
    <s v="C031"/>
    <x v="197"/>
    <n v="92"/>
    <n v="100000"/>
    <x v="69"/>
  </r>
  <r>
    <x v="298"/>
    <s v="C040"/>
    <x v="198"/>
    <n v="20"/>
    <n v="150000"/>
    <x v="75"/>
  </r>
  <r>
    <x v="299"/>
    <s v="C036"/>
    <x v="199"/>
    <n v="57"/>
    <n v="150000"/>
    <x v="110"/>
  </r>
  <r>
    <x v="300"/>
    <m/>
    <x v="200"/>
    <m/>
    <m/>
    <x v="1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INV0001"/>
    <s v="C004"/>
    <x v="0"/>
    <x v="0"/>
    <n v="100"/>
    <n v="200000"/>
    <n v="20000000"/>
  </r>
  <r>
    <s v="INV0002"/>
    <s v="C024"/>
    <x v="1"/>
    <x v="1"/>
    <n v="21"/>
    <n v="100000"/>
    <n v="2100000"/>
  </r>
  <r>
    <s v="INV0003"/>
    <s v="C032"/>
    <x v="2"/>
    <x v="2"/>
    <n v="90"/>
    <n v="150000"/>
    <n v="13500000"/>
  </r>
  <r>
    <s v="INV0004"/>
    <s v="C027"/>
    <x v="3"/>
    <x v="3"/>
    <n v="93"/>
    <n v="75000"/>
    <n v="6975000"/>
  </r>
  <r>
    <s v="INV0005"/>
    <s v="C027"/>
    <x v="4"/>
    <x v="4"/>
    <n v="35"/>
    <n v="100000"/>
    <n v="3500000"/>
  </r>
  <r>
    <s v="INV0006"/>
    <s v="C010"/>
    <x v="5"/>
    <x v="5"/>
    <n v="95"/>
    <n v="50000"/>
    <n v="4750000"/>
  </r>
  <r>
    <s v="INV0007"/>
    <s v="C008"/>
    <x v="2"/>
    <x v="6"/>
    <n v="13"/>
    <n v="50000"/>
    <n v="650000"/>
  </r>
  <r>
    <s v="INV0008"/>
    <s v="C033"/>
    <x v="0"/>
    <x v="7"/>
    <n v="34"/>
    <n v="150000"/>
    <n v="5100000"/>
  </r>
  <r>
    <s v="INV0009"/>
    <s v="C015"/>
    <x v="6"/>
    <x v="8"/>
    <n v="24"/>
    <n v="100000"/>
    <n v="2400000"/>
  </r>
  <r>
    <s v="INV0010"/>
    <s v="C035"/>
    <x v="3"/>
    <x v="9"/>
    <n v="75"/>
    <n v="150000"/>
    <n v="11250000"/>
  </r>
  <r>
    <s v="INV0011"/>
    <s v="C017"/>
    <x v="2"/>
    <x v="10"/>
    <n v="97"/>
    <n v="150000"/>
    <n v="14550000"/>
  </r>
  <r>
    <s v="INV0012"/>
    <s v="C013"/>
    <x v="3"/>
    <x v="11"/>
    <n v="98"/>
    <n v="150000"/>
    <n v="14700000"/>
  </r>
  <r>
    <s v="INV0013"/>
    <s v="C018"/>
    <x v="4"/>
    <x v="12"/>
    <n v="43"/>
    <n v="75000"/>
    <n v="3225000"/>
  </r>
  <r>
    <s v="INV0014"/>
    <s v="C020"/>
    <x v="7"/>
    <x v="13"/>
    <n v="71"/>
    <n v="150000"/>
    <n v="10650000"/>
  </r>
  <r>
    <s v="INV0015"/>
    <s v="C021"/>
    <x v="6"/>
    <x v="14"/>
    <n v="68"/>
    <n v="150000"/>
    <n v="10200000"/>
  </r>
  <r>
    <s v="INV0016"/>
    <s v="C033"/>
    <x v="3"/>
    <x v="15"/>
    <n v="11"/>
    <n v="50000"/>
    <n v="550000"/>
  </r>
  <r>
    <s v="INV0017"/>
    <s v="C010"/>
    <x v="1"/>
    <x v="16"/>
    <n v="63"/>
    <n v="150000"/>
    <n v="9450000"/>
  </r>
  <r>
    <s v="INV0018"/>
    <s v="C023"/>
    <x v="8"/>
    <x v="17"/>
    <n v="26"/>
    <n v="50000"/>
    <n v="1300000"/>
  </r>
  <r>
    <s v="INV0019"/>
    <s v="C038"/>
    <x v="7"/>
    <x v="18"/>
    <n v="79"/>
    <n v="50000"/>
    <n v="3950000"/>
  </r>
  <r>
    <s v="INV0020"/>
    <s v="C030"/>
    <x v="3"/>
    <x v="19"/>
    <n v="34"/>
    <n v="200000"/>
    <n v="6800000"/>
  </r>
  <r>
    <s v="INV0021"/>
    <s v="C039"/>
    <x v="9"/>
    <x v="20"/>
    <n v="89"/>
    <n v="200000"/>
    <n v="17800000"/>
  </r>
  <r>
    <s v="INV0022"/>
    <s v="C027"/>
    <x v="5"/>
    <x v="21"/>
    <n v="49"/>
    <n v="150000"/>
    <n v="7350000"/>
  </r>
  <r>
    <s v="INV0023"/>
    <s v="C013"/>
    <x v="10"/>
    <x v="22"/>
    <n v="94"/>
    <n v="100000"/>
    <n v="9400000"/>
  </r>
  <r>
    <s v="INV0024"/>
    <s v="C030"/>
    <x v="1"/>
    <x v="23"/>
    <n v="59"/>
    <n v="50000"/>
    <n v="2950000"/>
  </r>
  <r>
    <s v="INV0025"/>
    <s v="C015"/>
    <x v="7"/>
    <x v="24"/>
    <n v="18"/>
    <n v="100000"/>
    <n v="1800000"/>
  </r>
  <r>
    <s v="INV0026"/>
    <s v="C002"/>
    <x v="1"/>
    <x v="25"/>
    <n v="58"/>
    <n v="75000"/>
    <n v="4350000"/>
  </r>
  <r>
    <s v="INV0027"/>
    <s v="C011"/>
    <x v="8"/>
    <x v="26"/>
    <n v="44"/>
    <n v="150000"/>
    <n v="6600000"/>
  </r>
  <r>
    <s v="INV0028"/>
    <s v="C004"/>
    <x v="0"/>
    <x v="27"/>
    <n v="18"/>
    <n v="100000"/>
    <n v="1800000"/>
  </r>
  <r>
    <s v="INV0029"/>
    <s v="C022"/>
    <x v="6"/>
    <x v="28"/>
    <n v="93"/>
    <n v="200000"/>
    <n v="18600000"/>
  </r>
  <r>
    <s v="INV0030"/>
    <s v="C008"/>
    <x v="5"/>
    <x v="29"/>
    <n v="66"/>
    <n v="50000"/>
    <n v="3300000"/>
  </r>
  <r>
    <s v="INV0031"/>
    <s v="C015"/>
    <x v="1"/>
    <x v="30"/>
    <n v="99"/>
    <n v="100000"/>
    <n v="9900000"/>
  </r>
  <r>
    <s v="INV0032"/>
    <s v="C037"/>
    <x v="8"/>
    <x v="26"/>
    <n v="64"/>
    <n v="50000"/>
    <n v="3200000"/>
  </r>
  <r>
    <s v="INV0033"/>
    <s v="C028"/>
    <x v="11"/>
    <x v="31"/>
    <n v="53"/>
    <n v="150000"/>
    <n v="7950000"/>
  </r>
  <r>
    <s v="INV0034"/>
    <s v="C009"/>
    <x v="0"/>
    <x v="32"/>
    <n v="68"/>
    <n v="75000"/>
    <n v="5100000"/>
  </r>
  <r>
    <s v="INV0035"/>
    <s v="C002"/>
    <x v="7"/>
    <x v="33"/>
    <n v="77"/>
    <n v="150000"/>
    <n v="11550000"/>
  </r>
  <r>
    <s v="INV0036"/>
    <s v="C022"/>
    <x v="9"/>
    <x v="34"/>
    <n v="43"/>
    <n v="150000"/>
    <n v="6450000"/>
  </r>
  <r>
    <s v="INV0037"/>
    <s v="C024"/>
    <x v="11"/>
    <x v="35"/>
    <n v="17"/>
    <n v="200000"/>
    <n v="3400000"/>
  </r>
  <r>
    <s v="INV0038"/>
    <s v="C018"/>
    <x v="5"/>
    <x v="36"/>
    <n v="92"/>
    <n v="200000"/>
    <n v="18400000"/>
  </r>
  <r>
    <s v="INV0039"/>
    <s v="C012"/>
    <x v="3"/>
    <x v="37"/>
    <n v="55"/>
    <n v="100000"/>
    <n v="5500000"/>
  </r>
  <r>
    <s v="INV0040"/>
    <s v="C015"/>
    <x v="7"/>
    <x v="38"/>
    <n v="9"/>
    <n v="100000"/>
    <n v="900000"/>
  </r>
  <r>
    <s v="INV0041"/>
    <s v="C007"/>
    <x v="0"/>
    <x v="39"/>
    <n v="50"/>
    <n v="75000"/>
    <n v="3750000"/>
  </r>
  <r>
    <s v="INV0042"/>
    <s v="C008"/>
    <x v="10"/>
    <x v="40"/>
    <n v="74"/>
    <n v="150000"/>
    <n v="11100000"/>
  </r>
  <r>
    <s v="INV0043"/>
    <s v="C013"/>
    <x v="7"/>
    <x v="38"/>
    <n v="24"/>
    <n v="75000"/>
    <n v="1800000"/>
  </r>
  <r>
    <s v="INV0044"/>
    <s v="C008"/>
    <x v="3"/>
    <x v="41"/>
    <n v="30"/>
    <n v="150000"/>
    <n v="4500000"/>
  </r>
  <r>
    <s v="INV0045"/>
    <s v="C031"/>
    <x v="1"/>
    <x v="42"/>
    <n v="60"/>
    <n v="100000"/>
    <n v="6000000"/>
  </r>
  <r>
    <s v="INV0046"/>
    <s v="C027"/>
    <x v="4"/>
    <x v="43"/>
    <n v="95"/>
    <n v="150000"/>
    <n v="14250000"/>
  </r>
  <r>
    <s v="INV0047"/>
    <s v="C010"/>
    <x v="3"/>
    <x v="44"/>
    <n v="56"/>
    <n v="75000"/>
    <n v="4200000"/>
  </r>
  <r>
    <s v="INV0048"/>
    <s v="C017"/>
    <x v="2"/>
    <x v="45"/>
    <n v="42"/>
    <n v="50000"/>
    <n v="2100000"/>
  </r>
  <r>
    <s v="INV0049"/>
    <s v="C008"/>
    <x v="10"/>
    <x v="46"/>
    <n v="34"/>
    <n v="150000"/>
    <n v="5100000"/>
  </r>
  <r>
    <s v="INV0050"/>
    <s v="C013"/>
    <x v="0"/>
    <x v="47"/>
    <n v="26"/>
    <n v="200000"/>
    <n v="5200000"/>
  </r>
  <r>
    <s v="INV0051"/>
    <s v="C018"/>
    <x v="3"/>
    <x v="48"/>
    <n v="94"/>
    <n v="50000"/>
    <n v="4700000"/>
  </r>
  <r>
    <s v="INV0052"/>
    <s v="C025"/>
    <x v="1"/>
    <x v="49"/>
    <n v="9"/>
    <n v="75000"/>
    <n v="675000"/>
  </r>
  <r>
    <s v="INV0053"/>
    <s v="C009"/>
    <x v="11"/>
    <x v="50"/>
    <n v="56"/>
    <n v="100000"/>
    <n v="5600000"/>
  </r>
  <r>
    <s v="INV0054"/>
    <s v="C006"/>
    <x v="9"/>
    <x v="51"/>
    <n v="6"/>
    <n v="100000"/>
    <n v="600000"/>
  </r>
  <r>
    <s v="INV0055"/>
    <s v="C039"/>
    <x v="8"/>
    <x v="52"/>
    <n v="45"/>
    <n v="100000"/>
    <n v="4500000"/>
  </r>
  <r>
    <s v="INV0056"/>
    <s v="C022"/>
    <x v="7"/>
    <x v="53"/>
    <n v="66"/>
    <n v="50000"/>
    <n v="3300000"/>
  </r>
  <r>
    <s v="INV0057"/>
    <s v="C013"/>
    <x v="2"/>
    <x v="54"/>
    <n v="52"/>
    <n v="50000"/>
    <n v="2600000"/>
  </r>
  <r>
    <s v="INV0058"/>
    <s v="C021"/>
    <x v="3"/>
    <x v="55"/>
    <n v="79"/>
    <n v="75000"/>
    <n v="5925000"/>
  </r>
  <r>
    <s v="INV0059"/>
    <s v="C002"/>
    <x v="2"/>
    <x v="56"/>
    <n v="75"/>
    <n v="200000"/>
    <n v="15000000"/>
  </r>
  <r>
    <s v="INV0060"/>
    <s v="C005"/>
    <x v="6"/>
    <x v="57"/>
    <n v="98"/>
    <n v="50000"/>
    <n v="4900000"/>
  </r>
  <r>
    <s v="INV0061"/>
    <s v="C014"/>
    <x v="1"/>
    <x v="58"/>
    <n v="63"/>
    <n v="50000"/>
    <n v="3150000"/>
  </r>
  <r>
    <s v="INV0062"/>
    <s v="C032"/>
    <x v="9"/>
    <x v="59"/>
    <n v="53"/>
    <n v="50000"/>
    <n v="2650000"/>
  </r>
  <r>
    <s v="INV0063"/>
    <s v="C015"/>
    <x v="10"/>
    <x v="60"/>
    <n v="94"/>
    <n v="200000"/>
    <n v="18800000"/>
  </r>
  <r>
    <s v="INV0064"/>
    <s v="C017"/>
    <x v="5"/>
    <x v="61"/>
    <n v="81"/>
    <n v="150000"/>
    <n v="12150000"/>
  </r>
  <r>
    <s v="INV0065"/>
    <s v="C038"/>
    <x v="7"/>
    <x v="62"/>
    <n v="100"/>
    <n v="75000"/>
    <n v="7500000"/>
  </r>
  <r>
    <s v="INV0066"/>
    <s v="C039"/>
    <x v="9"/>
    <x v="63"/>
    <n v="18"/>
    <n v="150000"/>
    <n v="2700000"/>
  </r>
  <r>
    <s v="INV0067"/>
    <s v="C012"/>
    <x v="3"/>
    <x v="64"/>
    <n v="52"/>
    <n v="150000"/>
    <n v="7800000"/>
  </r>
  <r>
    <s v="INV0068"/>
    <s v="C031"/>
    <x v="11"/>
    <x v="65"/>
    <n v="9"/>
    <n v="150000"/>
    <n v="1350000"/>
  </r>
  <r>
    <s v="INV0069"/>
    <s v="C003"/>
    <x v="8"/>
    <x v="66"/>
    <n v="61"/>
    <n v="200000"/>
    <n v="12200000"/>
  </r>
  <r>
    <s v="INV0070"/>
    <s v="C003"/>
    <x v="1"/>
    <x v="1"/>
    <n v="60"/>
    <n v="150000"/>
    <n v="9000000"/>
  </r>
  <r>
    <s v="INV0071"/>
    <s v="C004"/>
    <x v="5"/>
    <x v="67"/>
    <n v="74"/>
    <n v="200000"/>
    <n v="14800000"/>
  </r>
  <r>
    <s v="INV0072"/>
    <s v="C029"/>
    <x v="5"/>
    <x v="68"/>
    <n v="63"/>
    <n v="75000"/>
    <n v="4725000"/>
  </r>
  <r>
    <s v="INV0073"/>
    <s v="C029"/>
    <x v="4"/>
    <x v="69"/>
    <n v="39"/>
    <n v="50000"/>
    <n v="1950000"/>
  </r>
  <r>
    <s v="INV0074"/>
    <s v="C035"/>
    <x v="7"/>
    <x v="18"/>
    <n v="55"/>
    <n v="150000"/>
    <n v="8250000"/>
  </r>
  <r>
    <s v="INV0075"/>
    <s v="C003"/>
    <x v="0"/>
    <x v="70"/>
    <n v="22"/>
    <n v="100000"/>
    <n v="2200000"/>
  </r>
  <r>
    <s v="INV0076"/>
    <s v="C026"/>
    <x v="6"/>
    <x v="71"/>
    <n v="64"/>
    <n v="75000"/>
    <n v="4800000"/>
  </r>
  <r>
    <s v="INV0077"/>
    <s v="C029"/>
    <x v="1"/>
    <x v="72"/>
    <n v="12"/>
    <n v="150000"/>
    <n v="1800000"/>
  </r>
  <r>
    <s v="INV0078"/>
    <s v="C040"/>
    <x v="11"/>
    <x v="73"/>
    <n v="92"/>
    <n v="100000"/>
    <n v="9200000"/>
  </r>
  <r>
    <s v="INV0079"/>
    <s v="C007"/>
    <x v="1"/>
    <x v="74"/>
    <n v="63"/>
    <n v="200000"/>
    <n v="12600000"/>
  </r>
  <r>
    <s v="INV0080"/>
    <s v="C006"/>
    <x v="4"/>
    <x v="75"/>
    <n v="42"/>
    <n v="200000"/>
    <n v="8400000"/>
  </r>
  <r>
    <s v="INV0081"/>
    <s v="C009"/>
    <x v="1"/>
    <x v="74"/>
    <n v="38"/>
    <n v="50000"/>
    <n v="1900000"/>
  </r>
  <r>
    <s v="INV0082"/>
    <s v="C033"/>
    <x v="1"/>
    <x v="72"/>
    <n v="81"/>
    <n v="75000"/>
    <n v="6075000"/>
  </r>
  <r>
    <s v="INV0083"/>
    <s v="C020"/>
    <x v="4"/>
    <x v="76"/>
    <n v="57"/>
    <n v="50000"/>
    <n v="2850000"/>
  </r>
  <r>
    <s v="INV0084"/>
    <s v="C025"/>
    <x v="0"/>
    <x v="77"/>
    <n v="20"/>
    <n v="150000"/>
    <n v="3000000"/>
  </r>
  <r>
    <s v="INV0085"/>
    <s v="C022"/>
    <x v="8"/>
    <x v="78"/>
    <n v="53"/>
    <n v="100000"/>
    <n v="5300000"/>
  </r>
  <r>
    <s v="INV0086"/>
    <s v="C008"/>
    <x v="0"/>
    <x v="79"/>
    <n v="34"/>
    <n v="75000"/>
    <n v="2550000"/>
  </r>
  <r>
    <s v="INV0087"/>
    <s v="C003"/>
    <x v="0"/>
    <x v="80"/>
    <n v="21"/>
    <n v="200000"/>
    <n v="4200000"/>
  </r>
  <r>
    <s v="INV0088"/>
    <s v="C010"/>
    <x v="4"/>
    <x v="43"/>
    <n v="56"/>
    <n v="100000"/>
    <n v="5600000"/>
  </r>
  <r>
    <s v="INV0089"/>
    <s v="C010"/>
    <x v="4"/>
    <x v="4"/>
    <n v="83"/>
    <n v="200000"/>
    <n v="16600000"/>
  </r>
  <r>
    <s v="INV0090"/>
    <s v="C030"/>
    <x v="6"/>
    <x v="81"/>
    <n v="54"/>
    <n v="75000"/>
    <n v="4050000"/>
  </r>
  <r>
    <s v="INV0091"/>
    <s v="C029"/>
    <x v="10"/>
    <x v="82"/>
    <n v="13"/>
    <n v="150000"/>
    <n v="1950000"/>
  </r>
  <r>
    <s v="INV0092"/>
    <s v="C039"/>
    <x v="3"/>
    <x v="83"/>
    <n v="55"/>
    <n v="75000"/>
    <n v="4125000"/>
  </r>
  <r>
    <s v="INV0093"/>
    <s v="C005"/>
    <x v="7"/>
    <x v="84"/>
    <n v="16"/>
    <n v="150000"/>
    <n v="2400000"/>
  </r>
  <r>
    <s v="INV0094"/>
    <s v="C011"/>
    <x v="5"/>
    <x v="85"/>
    <n v="94"/>
    <n v="50000"/>
    <n v="4700000"/>
  </r>
  <r>
    <s v="INV0095"/>
    <s v="C024"/>
    <x v="11"/>
    <x v="86"/>
    <n v="18"/>
    <n v="200000"/>
    <n v="3600000"/>
  </r>
  <r>
    <s v="INV0096"/>
    <s v="C012"/>
    <x v="2"/>
    <x v="6"/>
    <n v="84"/>
    <n v="50000"/>
    <n v="4200000"/>
  </r>
  <r>
    <s v="INV0097"/>
    <s v="C019"/>
    <x v="10"/>
    <x v="87"/>
    <n v="10"/>
    <n v="150000"/>
    <n v="1500000"/>
  </r>
  <r>
    <s v="INV0098"/>
    <s v="C005"/>
    <x v="0"/>
    <x v="47"/>
    <n v="60"/>
    <n v="50000"/>
    <n v="3000000"/>
  </r>
  <r>
    <s v="INV0099"/>
    <s v="C016"/>
    <x v="4"/>
    <x v="88"/>
    <n v="77"/>
    <n v="200000"/>
    <n v="15400000"/>
  </r>
  <r>
    <s v="INV0100"/>
    <s v="C011"/>
    <x v="8"/>
    <x v="89"/>
    <n v="61"/>
    <n v="100000"/>
    <n v="6100000"/>
  </r>
  <r>
    <s v="INV0101"/>
    <s v="C023"/>
    <x v="8"/>
    <x v="89"/>
    <n v="79"/>
    <n v="200000"/>
    <n v="15800000"/>
  </r>
  <r>
    <s v="INV0102"/>
    <s v="C010"/>
    <x v="11"/>
    <x v="90"/>
    <n v="56"/>
    <n v="200000"/>
    <n v="11200000"/>
  </r>
  <r>
    <s v="INV0103"/>
    <s v="C009"/>
    <x v="5"/>
    <x v="91"/>
    <n v="24"/>
    <n v="100000"/>
    <n v="2400000"/>
  </r>
  <r>
    <s v="INV0104"/>
    <s v="C006"/>
    <x v="6"/>
    <x v="92"/>
    <n v="30"/>
    <n v="100000"/>
    <n v="3000000"/>
  </r>
  <r>
    <s v="INV0105"/>
    <s v="C040"/>
    <x v="0"/>
    <x v="93"/>
    <n v="70"/>
    <n v="100000"/>
    <n v="7000000"/>
  </r>
  <r>
    <s v="INV0106"/>
    <s v="C029"/>
    <x v="8"/>
    <x v="94"/>
    <n v="88"/>
    <n v="50000"/>
    <n v="4400000"/>
  </r>
  <r>
    <s v="INV0107"/>
    <s v="C015"/>
    <x v="8"/>
    <x v="95"/>
    <n v="48"/>
    <n v="200000"/>
    <n v="9600000"/>
  </r>
  <r>
    <s v="INV0108"/>
    <s v="C017"/>
    <x v="1"/>
    <x v="16"/>
    <n v="51"/>
    <n v="50000"/>
    <n v="2550000"/>
  </r>
  <r>
    <s v="INV0109"/>
    <s v="C010"/>
    <x v="1"/>
    <x v="30"/>
    <n v="58"/>
    <n v="150000"/>
    <n v="8700000"/>
  </r>
  <r>
    <s v="INV0110"/>
    <s v="C033"/>
    <x v="9"/>
    <x v="96"/>
    <n v="36"/>
    <n v="50000"/>
    <n v="1800000"/>
  </r>
  <r>
    <s v="INV0111"/>
    <s v="C012"/>
    <x v="0"/>
    <x v="47"/>
    <n v="96"/>
    <n v="75000"/>
    <n v="7200000"/>
  </r>
  <r>
    <s v="INV0112"/>
    <s v="C032"/>
    <x v="10"/>
    <x v="97"/>
    <n v="52"/>
    <n v="100000"/>
    <n v="5200000"/>
  </r>
  <r>
    <s v="INV0113"/>
    <s v="C012"/>
    <x v="7"/>
    <x v="98"/>
    <n v="35"/>
    <n v="50000"/>
    <n v="1750000"/>
  </r>
  <r>
    <s v="INV0114"/>
    <s v="C026"/>
    <x v="5"/>
    <x v="36"/>
    <n v="56"/>
    <n v="200000"/>
    <n v="11200000"/>
  </r>
  <r>
    <s v="INV0115"/>
    <s v="C023"/>
    <x v="8"/>
    <x v="99"/>
    <n v="95"/>
    <n v="150000"/>
    <n v="14250000"/>
  </r>
  <r>
    <s v="INV0116"/>
    <s v="C021"/>
    <x v="3"/>
    <x v="100"/>
    <n v="87"/>
    <n v="150000"/>
    <n v="13050000"/>
  </r>
  <r>
    <s v="INV0117"/>
    <s v="C021"/>
    <x v="11"/>
    <x v="101"/>
    <n v="69"/>
    <n v="100000"/>
    <n v="6900000"/>
  </r>
  <r>
    <s v="INV0118"/>
    <s v="C035"/>
    <x v="3"/>
    <x v="9"/>
    <n v="79"/>
    <n v="75000"/>
    <n v="5925000"/>
  </r>
  <r>
    <s v="INV0119"/>
    <s v="C023"/>
    <x v="4"/>
    <x v="102"/>
    <n v="86"/>
    <n v="100000"/>
    <n v="8600000"/>
  </r>
  <r>
    <s v="INV0120"/>
    <s v="C007"/>
    <x v="7"/>
    <x v="103"/>
    <n v="88"/>
    <n v="100000"/>
    <n v="8800000"/>
  </r>
  <r>
    <s v="INV0121"/>
    <s v="C011"/>
    <x v="4"/>
    <x v="43"/>
    <n v="22"/>
    <n v="50000"/>
    <n v="1100000"/>
  </r>
  <r>
    <s v="INV0122"/>
    <s v="C012"/>
    <x v="3"/>
    <x v="64"/>
    <n v="69"/>
    <n v="100000"/>
    <n v="6900000"/>
  </r>
  <r>
    <s v="INV0123"/>
    <s v="C035"/>
    <x v="3"/>
    <x v="55"/>
    <n v="42"/>
    <n v="100000"/>
    <n v="4200000"/>
  </r>
  <r>
    <s v="INV0124"/>
    <s v="C016"/>
    <x v="6"/>
    <x v="104"/>
    <n v="63"/>
    <n v="75000"/>
    <n v="4725000"/>
  </r>
  <r>
    <s v="INV0125"/>
    <s v="C028"/>
    <x v="1"/>
    <x v="30"/>
    <n v="64"/>
    <n v="200000"/>
    <n v="12800000"/>
  </r>
  <r>
    <s v="INV0126"/>
    <s v="C030"/>
    <x v="1"/>
    <x v="105"/>
    <n v="16"/>
    <n v="100000"/>
    <n v="1600000"/>
  </r>
  <r>
    <s v="INV0127"/>
    <s v="C039"/>
    <x v="7"/>
    <x v="24"/>
    <n v="32"/>
    <n v="75000"/>
    <n v="2400000"/>
  </r>
  <r>
    <s v="INV0128"/>
    <s v="C019"/>
    <x v="4"/>
    <x v="43"/>
    <n v="24"/>
    <n v="100000"/>
    <n v="2400000"/>
  </r>
  <r>
    <s v="INV0129"/>
    <s v="C019"/>
    <x v="1"/>
    <x v="106"/>
    <n v="20"/>
    <n v="100000"/>
    <n v="2000000"/>
  </r>
  <r>
    <s v="INV0130"/>
    <s v="C038"/>
    <x v="3"/>
    <x v="100"/>
    <n v="10"/>
    <n v="200000"/>
    <n v="2000000"/>
  </r>
  <r>
    <s v="INV0131"/>
    <s v="C014"/>
    <x v="7"/>
    <x v="107"/>
    <n v="50"/>
    <n v="200000"/>
    <n v="10000000"/>
  </r>
  <r>
    <s v="INV0132"/>
    <s v="C011"/>
    <x v="4"/>
    <x v="76"/>
    <n v="9"/>
    <n v="200000"/>
    <n v="1800000"/>
  </r>
  <r>
    <s v="INV0133"/>
    <s v="C004"/>
    <x v="1"/>
    <x v="72"/>
    <n v="74"/>
    <n v="75000"/>
    <n v="5550000"/>
  </r>
  <r>
    <s v="INV0134"/>
    <s v="C022"/>
    <x v="8"/>
    <x v="108"/>
    <n v="61"/>
    <n v="50000"/>
    <n v="3050000"/>
  </r>
  <r>
    <s v="INV0135"/>
    <s v="C006"/>
    <x v="3"/>
    <x v="15"/>
    <n v="41"/>
    <n v="100000"/>
    <n v="4100000"/>
  </r>
  <r>
    <s v="INV0136"/>
    <s v="C030"/>
    <x v="7"/>
    <x v="109"/>
    <n v="19"/>
    <n v="150000"/>
    <n v="2850000"/>
  </r>
  <r>
    <s v="INV0137"/>
    <s v="C039"/>
    <x v="8"/>
    <x v="94"/>
    <n v="79"/>
    <n v="100000"/>
    <n v="7900000"/>
  </r>
  <r>
    <s v="INV0138"/>
    <s v="C016"/>
    <x v="1"/>
    <x v="110"/>
    <n v="43"/>
    <n v="75000"/>
    <n v="3225000"/>
  </r>
  <r>
    <s v="INV0139"/>
    <s v="C024"/>
    <x v="2"/>
    <x v="111"/>
    <n v="20"/>
    <n v="200000"/>
    <n v="4000000"/>
  </r>
  <r>
    <s v="INV0140"/>
    <s v="C014"/>
    <x v="5"/>
    <x v="112"/>
    <n v="97"/>
    <n v="100000"/>
    <n v="9700000"/>
  </r>
  <r>
    <s v="INV0141"/>
    <s v="C006"/>
    <x v="11"/>
    <x v="86"/>
    <n v="82"/>
    <n v="200000"/>
    <n v="16400000"/>
  </r>
  <r>
    <s v="INV0142"/>
    <s v="C019"/>
    <x v="10"/>
    <x v="113"/>
    <n v="82"/>
    <n v="75000"/>
    <n v="6150000"/>
  </r>
  <r>
    <s v="INV0143"/>
    <s v="C036"/>
    <x v="1"/>
    <x v="114"/>
    <n v="51"/>
    <n v="100000"/>
    <n v="5100000"/>
  </r>
  <r>
    <s v="INV0144"/>
    <s v="C008"/>
    <x v="3"/>
    <x v="11"/>
    <n v="79"/>
    <n v="200000"/>
    <n v="15800000"/>
  </r>
  <r>
    <s v="INV0145"/>
    <s v="C033"/>
    <x v="2"/>
    <x v="6"/>
    <n v="57"/>
    <n v="150000"/>
    <n v="8550000"/>
  </r>
  <r>
    <s v="INV0146"/>
    <s v="C021"/>
    <x v="3"/>
    <x v="11"/>
    <n v="78"/>
    <n v="100000"/>
    <n v="7800000"/>
  </r>
  <r>
    <s v="INV0147"/>
    <s v="C034"/>
    <x v="0"/>
    <x v="115"/>
    <n v="96"/>
    <n v="150000"/>
    <n v="14400000"/>
  </r>
  <r>
    <s v="INV0148"/>
    <s v="C008"/>
    <x v="4"/>
    <x v="116"/>
    <n v="52"/>
    <n v="50000"/>
    <n v="2600000"/>
  </r>
  <r>
    <s v="INV0149"/>
    <s v="C010"/>
    <x v="4"/>
    <x v="12"/>
    <n v="34"/>
    <n v="75000"/>
    <n v="2550000"/>
  </r>
  <r>
    <s v="INV0150"/>
    <s v="C038"/>
    <x v="7"/>
    <x v="117"/>
    <n v="83"/>
    <n v="100000"/>
    <n v="8300000"/>
  </r>
  <r>
    <s v="INV0151"/>
    <s v="C014"/>
    <x v="11"/>
    <x v="118"/>
    <n v="85"/>
    <n v="50000"/>
    <n v="4250000"/>
  </r>
  <r>
    <s v="INV0152"/>
    <s v="C008"/>
    <x v="10"/>
    <x v="60"/>
    <n v="32"/>
    <n v="100000"/>
    <n v="3200000"/>
  </r>
  <r>
    <s v="INV0153"/>
    <s v="C007"/>
    <x v="8"/>
    <x v="119"/>
    <n v="18"/>
    <n v="150000"/>
    <n v="2700000"/>
  </r>
  <r>
    <s v="INV0154"/>
    <s v="C020"/>
    <x v="4"/>
    <x v="4"/>
    <n v="53"/>
    <n v="100000"/>
    <n v="5300000"/>
  </r>
  <r>
    <s v="INV0155"/>
    <s v="C039"/>
    <x v="8"/>
    <x v="120"/>
    <n v="55"/>
    <n v="100000"/>
    <n v="5500000"/>
  </r>
  <r>
    <s v="INV0156"/>
    <s v="C012"/>
    <x v="11"/>
    <x v="121"/>
    <n v="82"/>
    <n v="50000"/>
    <n v="4100000"/>
  </r>
  <r>
    <s v="INV0157"/>
    <s v="C039"/>
    <x v="0"/>
    <x v="47"/>
    <n v="87"/>
    <n v="100000"/>
    <n v="8700000"/>
  </r>
  <r>
    <s v="INV0158"/>
    <s v="C013"/>
    <x v="6"/>
    <x v="122"/>
    <n v="92"/>
    <n v="150000"/>
    <n v="13800000"/>
  </r>
  <r>
    <s v="INV0159"/>
    <s v="C014"/>
    <x v="11"/>
    <x v="123"/>
    <n v="17"/>
    <n v="100000"/>
    <n v="1700000"/>
  </r>
  <r>
    <s v="INV0160"/>
    <s v="C009"/>
    <x v="5"/>
    <x v="124"/>
    <n v="21"/>
    <n v="100000"/>
    <n v="2100000"/>
  </r>
  <r>
    <s v="INV0161"/>
    <s v="C005"/>
    <x v="2"/>
    <x v="125"/>
    <n v="42"/>
    <n v="200000"/>
    <n v="8400000"/>
  </r>
  <r>
    <s v="INV0162"/>
    <s v="C014"/>
    <x v="9"/>
    <x v="126"/>
    <n v="8"/>
    <n v="100000"/>
    <n v="800000"/>
  </r>
  <r>
    <s v="INV0163"/>
    <s v="C008"/>
    <x v="6"/>
    <x v="127"/>
    <n v="97"/>
    <n v="150000"/>
    <n v="14550000"/>
  </r>
  <r>
    <s v="INV0164"/>
    <s v="C021"/>
    <x v="10"/>
    <x v="128"/>
    <n v="67"/>
    <n v="200000"/>
    <n v="13400000"/>
  </r>
  <r>
    <s v="INV0165"/>
    <s v="C028"/>
    <x v="4"/>
    <x v="12"/>
    <n v="82"/>
    <n v="50000"/>
    <n v="4100000"/>
  </r>
  <r>
    <s v="INV0166"/>
    <s v="C011"/>
    <x v="8"/>
    <x v="78"/>
    <n v="44"/>
    <n v="200000"/>
    <n v="8800000"/>
  </r>
  <r>
    <s v="INV0167"/>
    <s v="C016"/>
    <x v="8"/>
    <x v="108"/>
    <n v="9"/>
    <n v="150000"/>
    <n v="1350000"/>
  </r>
  <r>
    <s v="INV0168"/>
    <s v="C025"/>
    <x v="1"/>
    <x v="30"/>
    <n v="77"/>
    <n v="75000"/>
    <n v="5775000"/>
  </r>
  <r>
    <s v="INV0169"/>
    <s v="C033"/>
    <x v="10"/>
    <x v="129"/>
    <n v="35"/>
    <n v="50000"/>
    <n v="1750000"/>
  </r>
  <r>
    <s v="INV0170"/>
    <s v="C010"/>
    <x v="0"/>
    <x v="130"/>
    <n v="6"/>
    <n v="50000"/>
    <n v="300000"/>
  </r>
  <r>
    <s v="INV0171"/>
    <s v="C022"/>
    <x v="7"/>
    <x v="13"/>
    <n v="21"/>
    <n v="50000"/>
    <n v="1050000"/>
  </r>
  <r>
    <s v="INV0172"/>
    <s v="C036"/>
    <x v="4"/>
    <x v="131"/>
    <n v="13"/>
    <n v="150000"/>
    <n v="1950000"/>
  </r>
  <r>
    <s v="INV0173"/>
    <s v="C002"/>
    <x v="3"/>
    <x v="9"/>
    <n v="12"/>
    <n v="50000"/>
    <n v="600000"/>
  </r>
  <r>
    <s v="INV0174"/>
    <s v="C029"/>
    <x v="1"/>
    <x v="42"/>
    <n v="7"/>
    <n v="50000"/>
    <n v="350000"/>
  </r>
  <r>
    <s v="INV0175"/>
    <s v="C013"/>
    <x v="11"/>
    <x v="132"/>
    <n v="80"/>
    <n v="150000"/>
    <n v="12000000"/>
  </r>
  <r>
    <s v="INV0176"/>
    <s v="C003"/>
    <x v="8"/>
    <x v="133"/>
    <n v="12"/>
    <n v="100000"/>
    <n v="1200000"/>
  </r>
  <r>
    <s v="INV0177"/>
    <s v="C039"/>
    <x v="1"/>
    <x v="30"/>
    <n v="50"/>
    <n v="200000"/>
    <n v="10000000"/>
  </r>
  <r>
    <s v="INV0178"/>
    <s v="C013"/>
    <x v="10"/>
    <x v="134"/>
    <n v="77"/>
    <n v="200000"/>
    <n v="15400000"/>
  </r>
  <r>
    <s v="INV0179"/>
    <s v="C001"/>
    <x v="1"/>
    <x v="135"/>
    <n v="45"/>
    <n v="100000"/>
    <n v="4500000"/>
  </r>
  <r>
    <s v="INV0180"/>
    <s v="C031"/>
    <x v="2"/>
    <x v="45"/>
    <n v="85"/>
    <n v="100000"/>
    <n v="8500000"/>
  </r>
  <r>
    <s v="INV0181"/>
    <s v="C034"/>
    <x v="9"/>
    <x v="96"/>
    <n v="32"/>
    <n v="75000"/>
    <n v="2400000"/>
  </r>
  <r>
    <s v="INV0182"/>
    <s v="C034"/>
    <x v="7"/>
    <x v="107"/>
    <n v="19"/>
    <n v="75000"/>
    <n v="1425000"/>
  </r>
  <r>
    <s v="INV0183"/>
    <s v="C038"/>
    <x v="0"/>
    <x v="136"/>
    <n v="94"/>
    <n v="200000"/>
    <n v="18800000"/>
  </r>
  <r>
    <s v="INV0184"/>
    <s v="C040"/>
    <x v="2"/>
    <x v="137"/>
    <n v="63"/>
    <n v="50000"/>
    <n v="3150000"/>
  </r>
  <r>
    <s v="INV0185"/>
    <s v="C027"/>
    <x v="9"/>
    <x v="96"/>
    <n v="96"/>
    <n v="100000"/>
    <n v="9600000"/>
  </r>
  <r>
    <s v="INV0186"/>
    <s v="C038"/>
    <x v="11"/>
    <x v="86"/>
    <n v="91"/>
    <n v="75000"/>
    <n v="6825000"/>
  </r>
  <r>
    <s v="INV0187"/>
    <s v="C033"/>
    <x v="2"/>
    <x v="138"/>
    <n v="13"/>
    <n v="75000"/>
    <n v="975000"/>
  </r>
  <r>
    <s v="INV0188"/>
    <s v="C003"/>
    <x v="8"/>
    <x v="139"/>
    <n v="29"/>
    <n v="50000"/>
    <n v="1450000"/>
  </r>
  <r>
    <s v="INV0189"/>
    <s v="C004"/>
    <x v="3"/>
    <x v="100"/>
    <n v="39"/>
    <n v="200000"/>
    <n v="7800000"/>
  </r>
  <r>
    <s v="INV0190"/>
    <s v="C021"/>
    <x v="2"/>
    <x v="140"/>
    <n v="86"/>
    <n v="200000"/>
    <n v="17200000"/>
  </r>
  <r>
    <s v="INV0191"/>
    <s v="C040"/>
    <x v="0"/>
    <x v="141"/>
    <n v="19"/>
    <n v="75000"/>
    <n v="1425000"/>
  </r>
  <r>
    <s v="INV0192"/>
    <s v="C032"/>
    <x v="3"/>
    <x v="83"/>
    <n v="25"/>
    <n v="100000"/>
    <n v="2500000"/>
  </r>
  <r>
    <s v="INV0193"/>
    <s v="C028"/>
    <x v="11"/>
    <x v="142"/>
    <n v="91"/>
    <n v="200000"/>
    <n v="18200000"/>
  </r>
  <r>
    <s v="INV0194"/>
    <s v="C028"/>
    <x v="6"/>
    <x v="127"/>
    <n v="16"/>
    <n v="75000"/>
    <n v="1200000"/>
  </r>
  <r>
    <s v="INV0195"/>
    <s v="C033"/>
    <x v="6"/>
    <x v="143"/>
    <n v="9"/>
    <n v="50000"/>
    <n v="450000"/>
  </r>
  <r>
    <s v="INV0196"/>
    <s v="C015"/>
    <x v="11"/>
    <x v="144"/>
    <n v="95"/>
    <n v="75000"/>
    <n v="7125000"/>
  </r>
  <r>
    <s v="INV0197"/>
    <s v="C020"/>
    <x v="5"/>
    <x v="68"/>
    <n v="76"/>
    <n v="150000"/>
    <n v="11400000"/>
  </r>
  <r>
    <s v="INV0198"/>
    <s v="C031"/>
    <x v="4"/>
    <x v="12"/>
    <n v="26"/>
    <n v="200000"/>
    <n v="5200000"/>
  </r>
  <r>
    <s v="INV0199"/>
    <s v="C021"/>
    <x v="9"/>
    <x v="145"/>
    <n v="94"/>
    <n v="75000"/>
    <n v="7050000"/>
  </r>
  <r>
    <s v="INV0200"/>
    <s v="C017"/>
    <x v="4"/>
    <x v="4"/>
    <n v="27"/>
    <n v="50000"/>
    <n v="1350000"/>
  </r>
  <r>
    <s v="INV0201"/>
    <s v="C024"/>
    <x v="2"/>
    <x v="146"/>
    <n v="89"/>
    <n v="75000"/>
    <n v="6675000"/>
  </r>
  <r>
    <s v="INV0202"/>
    <s v="C003"/>
    <x v="10"/>
    <x v="147"/>
    <n v="34"/>
    <n v="150000"/>
    <n v="5100000"/>
  </r>
  <r>
    <s v="INV0203"/>
    <s v="C010"/>
    <x v="0"/>
    <x v="77"/>
    <n v="10"/>
    <n v="100000"/>
    <n v="1000000"/>
  </r>
  <r>
    <s v="INV0204"/>
    <s v="C037"/>
    <x v="6"/>
    <x v="148"/>
    <n v="43"/>
    <n v="100000"/>
    <n v="4300000"/>
  </r>
  <r>
    <s v="INV0205"/>
    <s v="C006"/>
    <x v="5"/>
    <x v="85"/>
    <n v="88"/>
    <n v="75000"/>
    <n v="6600000"/>
  </r>
  <r>
    <s v="INV0206"/>
    <s v="C033"/>
    <x v="6"/>
    <x v="149"/>
    <n v="81"/>
    <n v="50000"/>
    <n v="4050000"/>
  </r>
  <r>
    <s v="INV0207"/>
    <s v="C024"/>
    <x v="11"/>
    <x v="150"/>
    <n v="69"/>
    <n v="75000"/>
    <n v="5175000"/>
  </r>
  <r>
    <s v="INV0208"/>
    <s v="C006"/>
    <x v="8"/>
    <x v="108"/>
    <n v="56"/>
    <n v="200000"/>
    <n v="11200000"/>
  </r>
  <r>
    <s v="INV0209"/>
    <s v="C005"/>
    <x v="5"/>
    <x v="151"/>
    <n v="87"/>
    <n v="150000"/>
    <n v="13050000"/>
  </r>
  <r>
    <s v="INV0210"/>
    <s v="C009"/>
    <x v="5"/>
    <x v="151"/>
    <n v="85"/>
    <n v="75000"/>
    <n v="6375000"/>
  </r>
  <r>
    <s v="INV0211"/>
    <s v="C005"/>
    <x v="6"/>
    <x v="127"/>
    <n v="57"/>
    <n v="200000"/>
    <n v="11400000"/>
  </r>
  <r>
    <s v="INV0212"/>
    <s v="C035"/>
    <x v="11"/>
    <x v="152"/>
    <n v="35"/>
    <n v="75000"/>
    <n v="2625000"/>
  </r>
  <r>
    <s v="INV0213"/>
    <s v="C028"/>
    <x v="0"/>
    <x v="0"/>
    <n v="75"/>
    <n v="200000"/>
    <n v="15000000"/>
  </r>
  <r>
    <s v="INV0214"/>
    <s v="C038"/>
    <x v="7"/>
    <x v="153"/>
    <n v="8"/>
    <n v="150000"/>
    <n v="1200000"/>
  </r>
  <r>
    <s v="INV0215"/>
    <s v="C037"/>
    <x v="4"/>
    <x v="154"/>
    <n v="74"/>
    <n v="200000"/>
    <n v="14800000"/>
  </r>
  <r>
    <s v="INV0216"/>
    <s v="C016"/>
    <x v="10"/>
    <x v="82"/>
    <n v="53"/>
    <n v="150000"/>
    <n v="7950000"/>
  </r>
  <r>
    <s v="INV0217"/>
    <s v="C032"/>
    <x v="8"/>
    <x v="108"/>
    <n v="42"/>
    <n v="100000"/>
    <n v="4200000"/>
  </r>
  <r>
    <s v="INV0218"/>
    <s v="C038"/>
    <x v="11"/>
    <x v="155"/>
    <n v="29"/>
    <n v="50000"/>
    <n v="1450000"/>
  </r>
  <r>
    <s v="INV0219"/>
    <s v="C037"/>
    <x v="0"/>
    <x v="156"/>
    <n v="14"/>
    <n v="50000"/>
    <n v="700000"/>
  </r>
  <r>
    <s v="INV0220"/>
    <s v="C009"/>
    <x v="4"/>
    <x v="157"/>
    <n v="64"/>
    <n v="150000"/>
    <n v="9600000"/>
  </r>
  <r>
    <s v="INV0221"/>
    <s v="C014"/>
    <x v="9"/>
    <x v="158"/>
    <n v="10"/>
    <n v="200000"/>
    <n v="2000000"/>
  </r>
  <r>
    <s v="INV0222"/>
    <s v="C016"/>
    <x v="9"/>
    <x v="159"/>
    <n v="91"/>
    <n v="75000"/>
    <n v="6825000"/>
  </r>
  <r>
    <s v="INV0223"/>
    <s v="C035"/>
    <x v="4"/>
    <x v="69"/>
    <n v="58"/>
    <n v="200000"/>
    <n v="11600000"/>
  </r>
  <r>
    <s v="INV0224"/>
    <s v="C036"/>
    <x v="1"/>
    <x v="30"/>
    <n v="65"/>
    <n v="100000"/>
    <n v="6500000"/>
  </r>
  <r>
    <s v="INV0225"/>
    <s v="C038"/>
    <x v="9"/>
    <x v="160"/>
    <n v="25"/>
    <n v="200000"/>
    <n v="5000000"/>
  </r>
  <r>
    <s v="INV0226"/>
    <s v="C034"/>
    <x v="0"/>
    <x v="161"/>
    <n v="52"/>
    <n v="150000"/>
    <n v="7800000"/>
  </r>
  <r>
    <s v="INV0227"/>
    <s v="C014"/>
    <x v="5"/>
    <x v="162"/>
    <n v="70"/>
    <n v="75000"/>
    <n v="5250000"/>
  </r>
  <r>
    <s v="INV0228"/>
    <s v="C034"/>
    <x v="9"/>
    <x v="163"/>
    <n v="55"/>
    <n v="100000"/>
    <n v="5500000"/>
  </r>
  <r>
    <s v="INV0229"/>
    <s v="C037"/>
    <x v="11"/>
    <x v="164"/>
    <n v="90"/>
    <n v="75000"/>
    <n v="6750000"/>
  </r>
  <r>
    <s v="INV0230"/>
    <s v="C007"/>
    <x v="4"/>
    <x v="165"/>
    <n v="69"/>
    <n v="50000"/>
    <n v="3450000"/>
  </r>
  <r>
    <s v="INV0231"/>
    <s v="C029"/>
    <x v="5"/>
    <x v="61"/>
    <n v="73"/>
    <n v="150000"/>
    <n v="10950000"/>
  </r>
  <r>
    <s v="INV0232"/>
    <s v="C027"/>
    <x v="5"/>
    <x v="68"/>
    <n v="81"/>
    <n v="100000"/>
    <n v="8100000"/>
  </r>
  <r>
    <s v="INV0233"/>
    <s v="C026"/>
    <x v="4"/>
    <x v="166"/>
    <n v="65"/>
    <n v="200000"/>
    <n v="13000000"/>
  </r>
  <r>
    <s v="INV0234"/>
    <s v="C033"/>
    <x v="7"/>
    <x v="109"/>
    <n v="31"/>
    <n v="200000"/>
    <n v="6200000"/>
  </r>
  <r>
    <s v="INV0235"/>
    <s v="C038"/>
    <x v="0"/>
    <x v="130"/>
    <n v="24"/>
    <n v="200000"/>
    <n v="4800000"/>
  </r>
  <r>
    <s v="INV0236"/>
    <s v="C029"/>
    <x v="3"/>
    <x v="19"/>
    <n v="30"/>
    <n v="75000"/>
    <n v="2250000"/>
  </r>
  <r>
    <s v="INV0237"/>
    <s v="C007"/>
    <x v="7"/>
    <x v="109"/>
    <n v="75"/>
    <n v="100000"/>
    <n v="7500000"/>
  </r>
  <r>
    <s v="INV0238"/>
    <s v="C034"/>
    <x v="3"/>
    <x v="37"/>
    <n v="48"/>
    <n v="200000"/>
    <n v="9600000"/>
  </r>
  <r>
    <s v="INV0239"/>
    <s v="C013"/>
    <x v="4"/>
    <x v="167"/>
    <n v="54"/>
    <n v="75000"/>
    <n v="4050000"/>
  </r>
  <r>
    <s v="INV0240"/>
    <s v="C020"/>
    <x v="9"/>
    <x v="168"/>
    <n v="71"/>
    <n v="200000"/>
    <n v="14200000"/>
  </r>
  <r>
    <s v="INV0241"/>
    <s v="C021"/>
    <x v="11"/>
    <x v="169"/>
    <n v="17"/>
    <n v="75000"/>
    <n v="1275000"/>
  </r>
  <r>
    <s v="INV0242"/>
    <s v="C033"/>
    <x v="11"/>
    <x v="155"/>
    <n v="24"/>
    <n v="150000"/>
    <n v="3600000"/>
  </r>
  <r>
    <s v="INV0243"/>
    <s v="C016"/>
    <x v="7"/>
    <x v="170"/>
    <n v="83"/>
    <n v="50000"/>
    <n v="4150000"/>
  </r>
  <r>
    <s v="INV0244"/>
    <s v="C002"/>
    <x v="4"/>
    <x v="171"/>
    <n v="32"/>
    <n v="50000"/>
    <n v="1600000"/>
  </r>
  <r>
    <s v="INV0245"/>
    <s v="C015"/>
    <x v="6"/>
    <x v="172"/>
    <n v="55"/>
    <n v="100000"/>
    <n v="5500000"/>
  </r>
  <r>
    <s v="INV0246"/>
    <s v="C005"/>
    <x v="8"/>
    <x v="66"/>
    <n v="91"/>
    <n v="50000"/>
    <n v="4550000"/>
  </r>
  <r>
    <s v="INV0247"/>
    <s v="C006"/>
    <x v="6"/>
    <x v="173"/>
    <n v="25"/>
    <n v="75000"/>
    <n v="1875000"/>
  </r>
  <r>
    <s v="INV0248"/>
    <s v="C034"/>
    <x v="10"/>
    <x v="174"/>
    <n v="35"/>
    <n v="100000"/>
    <n v="3500000"/>
  </r>
  <r>
    <s v="INV0249"/>
    <s v="C034"/>
    <x v="6"/>
    <x v="81"/>
    <n v="37"/>
    <n v="75000"/>
    <n v="2775000"/>
  </r>
  <r>
    <s v="INV0250"/>
    <s v="C014"/>
    <x v="9"/>
    <x v="175"/>
    <n v="87"/>
    <n v="150000"/>
    <n v="13050000"/>
  </r>
  <r>
    <s v="INV0251"/>
    <s v="C028"/>
    <x v="2"/>
    <x v="2"/>
    <n v="54"/>
    <n v="100000"/>
    <n v="5400000"/>
  </r>
  <r>
    <s v="INV0252"/>
    <s v="C023"/>
    <x v="3"/>
    <x v="100"/>
    <n v="60"/>
    <n v="50000"/>
    <n v="3000000"/>
  </r>
  <r>
    <s v="INV0253"/>
    <s v="C006"/>
    <x v="3"/>
    <x v="100"/>
    <n v="19"/>
    <n v="200000"/>
    <n v="3800000"/>
  </r>
  <r>
    <s v="INV0254"/>
    <s v="C005"/>
    <x v="9"/>
    <x v="176"/>
    <n v="69"/>
    <n v="100000"/>
    <n v="6900000"/>
  </r>
  <r>
    <s v="INV0255"/>
    <s v="C005"/>
    <x v="5"/>
    <x v="124"/>
    <n v="84"/>
    <n v="50000"/>
    <n v="4200000"/>
  </r>
  <r>
    <s v="INV0256"/>
    <s v="C026"/>
    <x v="6"/>
    <x v="177"/>
    <n v="62"/>
    <n v="75000"/>
    <n v="4650000"/>
  </r>
  <r>
    <s v="INV0257"/>
    <s v="C006"/>
    <x v="0"/>
    <x v="79"/>
    <n v="94"/>
    <n v="200000"/>
    <n v="18800000"/>
  </r>
  <r>
    <s v="INV0258"/>
    <s v="C013"/>
    <x v="7"/>
    <x v="13"/>
    <n v="60"/>
    <n v="50000"/>
    <n v="3000000"/>
  </r>
  <r>
    <s v="INV0259"/>
    <s v="C010"/>
    <x v="3"/>
    <x v="178"/>
    <n v="60"/>
    <n v="200000"/>
    <n v="12000000"/>
  </r>
  <r>
    <s v="INV0260"/>
    <s v="C019"/>
    <x v="11"/>
    <x v="179"/>
    <n v="85"/>
    <n v="150000"/>
    <n v="12750000"/>
  </r>
  <r>
    <s v="INV0261"/>
    <s v="C001"/>
    <x v="11"/>
    <x v="180"/>
    <n v="43"/>
    <n v="50000"/>
    <n v="2150000"/>
  </r>
  <r>
    <s v="INV0262"/>
    <s v="C008"/>
    <x v="0"/>
    <x v="77"/>
    <n v="89"/>
    <n v="100000"/>
    <n v="8900000"/>
  </r>
  <r>
    <s v="INV0263"/>
    <s v="C001"/>
    <x v="6"/>
    <x v="181"/>
    <n v="13"/>
    <n v="75000"/>
    <n v="975000"/>
  </r>
  <r>
    <s v="INV0264"/>
    <s v="C021"/>
    <x v="8"/>
    <x v="95"/>
    <n v="33"/>
    <n v="150000"/>
    <n v="4950000"/>
  </r>
  <r>
    <s v="INV0265"/>
    <s v="C035"/>
    <x v="1"/>
    <x v="182"/>
    <n v="94"/>
    <n v="150000"/>
    <n v="14100000"/>
  </r>
  <r>
    <s v="INV0266"/>
    <s v="C017"/>
    <x v="10"/>
    <x v="129"/>
    <n v="65"/>
    <n v="200000"/>
    <n v="13000000"/>
  </r>
  <r>
    <s v="INV0267"/>
    <s v="C008"/>
    <x v="3"/>
    <x v="183"/>
    <n v="13"/>
    <n v="100000"/>
    <n v="1300000"/>
  </r>
  <r>
    <s v="INV0268"/>
    <s v="C036"/>
    <x v="4"/>
    <x v="154"/>
    <n v="93"/>
    <n v="200000"/>
    <n v="18600000"/>
  </r>
  <r>
    <s v="INV0269"/>
    <s v="C024"/>
    <x v="3"/>
    <x v="184"/>
    <n v="65"/>
    <n v="150000"/>
    <n v="9750000"/>
  </r>
  <r>
    <s v="INV0270"/>
    <s v="C021"/>
    <x v="3"/>
    <x v="185"/>
    <n v="35"/>
    <n v="200000"/>
    <n v="7000000"/>
  </r>
  <r>
    <s v="INV0271"/>
    <s v="C020"/>
    <x v="4"/>
    <x v="186"/>
    <n v="37"/>
    <n v="75000"/>
    <n v="2775000"/>
  </r>
  <r>
    <s v="INV0272"/>
    <s v="C001"/>
    <x v="7"/>
    <x v="38"/>
    <n v="64"/>
    <n v="75000"/>
    <n v="4800000"/>
  </r>
  <r>
    <s v="INV0273"/>
    <s v="C002"/>
    <x v="5"/>
    <x v="29"/>
    <n v="31"/>
    <n v="75000"/>
    <n v="2325000"/>
  </r>
  <r>
    <s v="INV0274"/>
    <s v="C040"/>
    <x v="4"/>
    <x v="167"/>
    <n v="94"/>
    <n v="100000"/>
    <n v="9400000"/>
  </r>
  <r>
    <s v="INV0275"/>
    <s v="C004"/>
    <x v="10"/>
    <x v="187"/>
    <n v="32"/>
    <n v="200000"/>
    <n v="6400000"/>
  </r>
  <r>
    <s v="INV0276"/>
    <s v="C022"/>
    <x v="0"/>
    <x v="32"/>
    <n v="14"/>
    <n v="150000"/>
    <n v="2100000"/>
  </r>
  <r>
    <s v="INV0277"/>
    <s v="C015"/>
    <x v="1"/>
    <x v="114"/>
    <n v="96"/>
    <n v="50000"/>
    <n v="4800000"/>
  </r>
  <r>
    <s v="INV0278"/>
    <s v="C024"/>
    <x v="3"/>
    <x v="11"/>
    <n v="78"/>
    <n v="50000"/>
    <n v="3900000"/>
  </r>
  <r>
    <s v="INV0279"/>
    <s v="C010"/>
    <x v="9"/>
    <x v="188"/>
    <n v="50"/>
    <n v="100000"/>
    <n v="5000000"/>
  </r>
  <r>
    <s v="INV0280"/>
    <s v="C027"/>
    <x v="2"/>
    <x v="137"/>
    <n v="58"/>
    <n v="150000"/>
    <n v="8700000"/>
  </r>
  <r>
    <s v="INV0281"/>
    <s v="C032"/>
    <x v="11"/>
    <x v="152"/>
    <n v="72"/>
    <n v="50000"/>
    <n v="3600000"/>
  </r>
  <r>
    <s v="INV0282"/>
    <s v="C006"/>
    <x v="10"/>
    <x v="82"/>
    <n v="89"/>
    <n v="75000"/>
    <n v="6675000"/>
  </r>
  <r>
    <s v="INV0283"/>
    <s v="C031"/>
    <x v="9"/>
    <x v="96"/>
    <n v="71"/>
    <n v="50000"/>
    <n v="3550000"/>
  </r>
  <r>
    <s v="INV0284"/>
    <s v="C028"/>
    <x v="2"/>
    <x v="189"/>
    <n v="45"/>
    <n v="150000"/>
    <n v="6750000"/>
  </r>
  <r>
    <s v="INV0285"/>
    <s v="C016"/>
    <x v="0"/>
    <x v="0"/>
    <n v="50"/>
    <n v="75000"/>
    <n v="3750000"/>
  </r>
  <r>
    <s v="INV0286"/>
    <s v="C017"/>
    <x v="5"/>
    <x v="190"/>
    <n v="75"/>
    <n v="50000"/>
    <n v="3750000"/>
  </r>
  <r>
    <s v="INV0287"/>
    <s v="C031"/>
    <x v="6"/>
    <x v="191"/>
    <n v="50"/>
    <n v="50000"/>
    <n v="2500000"/>
  </r>
  <r>
    <s v="INV0288"/>
    <s v="C025"/>
    <x v="10"/>
    <x v="192"/>
    <n v="53"/>
    <n v="50000"/>
    <n v="2650000"/>
  </r>
  <r>
    <s v="INV0289"/>
    <s v="C012"/>
    <x v="8"/>
    <x v="193"/>
    <n v="98"/>
    <n v="50000"/>
    <n v="4900000"/>
  </r>
  <r>
    <s v="INV0290"/>
    <s v="C020"/>
    <x v="4"/>
    <x v="116"/>
    <n v="68"/>
    <n v="150000"/>
    <n v="10200000"/>
  </r>
  <r>
    <s v="INV0291"/>
    <s v="C007"/>
    <x v="0"/>
    <x v="115"/>
    <n v="42"/>
    <n v="50000"/>
    <n v="2100000"/>
  </r>
  <r>
    <s v="INV0292"/>
    <s v="C014"/>
    <x v="3"/>
    <x v="185"/>
    <n v="44"/>
    <n v="100000"/>
    <n v="4400000"/>
  </r>
  <r>
    <s v="INV0293"/>
    <s v="C025"/>
    <x v="2"/>
    <x v="194"/>
    <n v="69"/>
    <n v="75000"/>
    <n v="5175000"/>
  </r>
  <r>
    <s v="INV0294"/>
    <s v="C007"/>
    <x v="8"/>
    <x v="195"/>
    <n v="17"/>
    <n v="100000"/>
    <n v="1700000"/>
  </r>
  <r>
    <s v="INV0295"/>
    <s v="C012"/>
    <x v="5"/>
    <x v="68"/>
    <n v="45"/>
    <n v="100000"/>
    <n v="4500000"/>
  </r>
  <r>
    <s v="INV0296"/>
    <s v="C018"/>
    <x v="0"/>
    <x v="115"/>
    <n v="14"/>
    <n v="200000"/>
    <n v="2800000"/>
  </r>
  <r>
    <s v="INV0297"/>
    <s v="C038"/>
    <x v="7"/>
    <x v="196"/>
    <n v="5"/>
    <n v="100000"/>
    <n v="500000"/>
  </r>
  <r>
    <s v="INV0298"/>
    <s v="C031"/>
    <x v="10"/>
    <x v="197"/>
    <n v="92"/>
    <n v="100000"/>
    <n v="9200000"/>
  </r>
  <r>
    <s v="INV0299"/>
    <s v="C040"/>
    <x v="9"/>
    <x v="198"/>
    <n v="20"/>
    <n v="150000"/>
    <n v="3000000"/>
  </r>
  <r>
    <s v="INV0300"/>
    <s v="C036"/>
    <x v="4"/>
    <x v="199"/>
    <n v="57"/>
    <n v="150000"/>
    <n v="85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1109C-61B0-4336-8F24-1D9BC7D6F8E8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7:H28" firstHeaderRow="1" firstDataRow="1" firstDataCol="0"/>
  <pivotFields count="4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Items count="1">
    <i/>
  </rowItems>
  <colItems count="1">
    <i/>
  </colItems>
  <dataFields count="1">
    <dataField name="H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0F42E-5D20-446F-A8E2-CFF3A79F9C6F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4:H25" firstHeaderRow="1" firstDataRow="1" firstDataCol="0"/>
  <pivotFields count="7">
    <pivotField showAll="0"/>
    <pivotField showAll="0"/>
    <pivotField showAll="0">
      <items count="13">
        <item x="0"/>
        <item x="5"/>
        <item x="4"/>
        <item x="9"/>
        <item x="2"/>
        <item x="7"/>
        <item x="3"/>
        <item x="1"/>
        <item x="10"/>
        <item x="11"/>
        <item x="8"/>
        <item x="6"/>
        <item t="default"/>
      </items>
    </pivotField>
    <pivotField showAll="0">
      <items count="201">
        <item x="77"/>
        <item x="47"/>
        <item x="39"/>
        <item x="161"/>
        <item x="70"/>
        <item x="27"/>
        <item x="0"/>
        <item x="79"/>
        <item x="115"/>
        <item x="80"/>
        <item x="136"/>
        <item x="32"/>
        <item x="93"/>
        <item x="7"/>
        <item x="156"/>
        <item x="130"/>
        <item x="141"/>
        <item x="36"/>
        <item x="85"/>
        <item x="162"/>
        <item x="91"/>
        <item x="21"/>
        <item x="61"/>
        <item x="190"/>
        <item x="124"/>
        <item x="151"/>
        <item x="5"/>
        <item x="112"/>
        <item x="29"/>
        <item x="67"/>
        <item x="68"/>
        <item x="166"/>
        <item x="171"/>
        <item x="165"/>
        <item x="75"/>
        <item x="116"/>
        <item x="157"/>
        <item x="167"/>
        <item x="43"/>
        <item x="131"/>
        <item x="88"/>
        <item x="154"/>
        <item x="199"/>
        <item x="69"/>
        <item x="12"/>
        <item x="102"/>
        <item x="186"/>
        <item x="76"/>
        <item x="4"/>
        <item x="145"/>
        <item x="59"/>
        <item x="160"/>
        <item x="159"/>
        <item x="126"/>
        <item x="188"/>
        <item x="51"/>
        <item x="168"/>
        <item x="163"/>
        <item x="96"/>
        <item x="176"/>
        <item x="198"/>
        <item x="175"/>
        <item x="63"/>
        <item x="34"/>
        <item x="20"/>
        <item x="158"/>
        <item x="2"/>
        <item x="194"/>
        <item x="138"/>
        <item x="10"/>
        <item x="137"/>
        <item x="125"/>
        <item x="140"/>
        <item x="111"/>
        <item x="45"/>
        <item x="189"/>
        <item x="56"/>
        <item x="146"/>
        <item x="6"/>
        <item x="54"/>
        <item x="107"/>
        <item x="18"/>
        <item x="153"/>
        <item x="103"/>
        <item x="33"/>
        <item x="117"/>
        <item x="53"/>
        <item x="84"/>
        <item x="196"/>
        <item x="62"/>
        <item x="109"/>
        <item x="13"/>
        <item x="38"/>
        <item x="170"/>
        <item x="24"/>
        <item x="98"/>
        <item x="48"/>
        <item x="15"/>
        <item x="178"/>
        <item x="55"/>
        <item x="44"/>
        <item x="9"/>
        <item x="83"/>
        <item x="64"/>
        <item x="3"/>
        <item x="100"/>
        <item x="19"/>
        <item x="11"/>
        <item x="184"/>
        <item x="183"/>
        <item x="37"/>
        <item x="41"/>
        <item x="185"/>
        <item x="74"/>
        <item x="16"/>
        <item x="135"/>
        <item x="42"/>
        <item x="110"/>
        <item x="58"/>
        <item x="49"/>
        <item x="106"/>
        <item x="182"/>
        <item x="25"/>
        <item x="105"/>
        <item x="23"/>
        <item x="1"/>
        <item x="30"/>
        <item x="72"/>
        <item x="114"/>
        <item x="40"/>
        <item x="187"/>
        <item x="46"/>
        <item x="129"/>
        <item x="87"/>
        <item x="197"/>
        <item x="134"/>
        <item x="128"/>
        <item x="174"/>
        <item x="97"/>
        <item x="22"/>
        <item x="147"/>
        <item x="113"/>
        <item x="192"/>
        <item x="82"/>
        <item x="60"/>
        <item x="90"/>
        <item x="180"/>
        <item x="86"/>
        <item x="121"/>
        <item x="152"/>
        <item x="35"/>
        <item x="144"/>
        <item x="179"/>
        <item x="164"/>
        <item x="118"/>
        <item x="155"/>
        <item x="73"/>
        <item x="150"/>
        <item x="50"/>
        <item x="132"/>
        <item x="169"/>
        <item x="101"/>
        <item x="65"/>
        <item x="123"/>
        <item x="31"/>
        <item x="142"/>
        <item x="193"/>
        <item x="108"/>
        <item x="120"/>
        <item x="94"/>
        <item x="26"/>
        <item x="139"/>
        <item x="52"/>
        <item x="195"/>
        <item x="89"/>
        <item x="78"/>
        <item x="133"/>
        <item x="119"/>
        <item x="95"/>
        <item x="17"/>
        <item x="99"/>
        <item x="66"/>
        <item x="8"/>
        <item x="92"/>
        <item x="81"/>
        <item x="143"/>
        <item x="28"/>
        <item x="149"/>
        <item x="148"/>
        <item x="14"/>
        <item x="191"/>
        <item x="57"/>
        <item x="173"/>
        <item x="181"/>
        <item x="122"/>
        <item x="104"/>
        <item x="177"/>
        <item x="71"/>
        <item x="127"/>
        <item x="172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dataFields count="1">
    <dataField name="Sum of Total_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F4CBF-FD73-4C23-9002-583EC64CC709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0:H21" firstHeaderRow="1" firstDataRow="1" firstDataCol="0"/>
  <pivotFields count="7">
    <pivotField dataField="1" showAll="0"/>
    <pivotField showAll="0"/>
    <pivotField showAll="0">
      <items count="13">
        <item x="0"/>
        <item x="5"/>
        <item x="4"/>
        <item x="9"/>
        <item x="2"/>
        <item x="7"/>
        <item x="3"/>
        <item x="1"/>
        <item x="10"/>
        <item x="11"/>
        <item x="8"/>
        <item x="6"/>
        <item t="default"/>
      </items>
    </pivotField>
    <pivotField showAll="0">
      <items count="201">
        <item x="77"/>
        <item x="47"/>
        <item x="39"/>
        <item x="161"/>
        <item x="70"/>
        <item x="27"/>
        <item x="0"/>
        <item x="79"/>
        <item x="115"/>
        <item x="80"/>
        <item x="136"/>
        <item x="32"/>
        <item x="93"/>
        <item x="7"/>
        <item x="156"/>
        <item x="130"/>
        <item x="141"/>
        <item x="36"/>
        <item x="85"/>
        <item x="162"/>
        <item x="91"/>
        <item x="21"/>
        <item x="61"/>
        <item x="190"/>
        <item x="124"/>
        <item x="151"/>
        <item x="5"/>
        <item x="112"/>
        <item x="29"/>
        <item x="67"/>
        <item x="68"/>
        <item x="166"/>
        <item x="171"/>
        <item x="165"/>
        <item x="75"/>
        <item x="116"/>
        <item x="157"/>
        <item x="167"/>
        <item x="43"/>
        <item x="131"/>
        <item x="88"/>
        <item x="154"/>
        <item x="199"/>
        <item x="69"/>
        <item x="12"/>
        <item x="102"/>
        <item x="186"/>
        <item x="76"/>
        <item x="4"/>
        <item x="145"/>
        <item x="59"/>
        <item x="160"/>
        <item x="159"/>
        <item x="126"/>
        <item x="188"/>
        <item x="51"/>
        <item x="168"/>
        <item x="163"/>
        <item x="96"/>
        <item x="176"/>
        <item x="198"/>
        <item x="175"/>
        <item x="63"/>
        <item x="34"/>
        <item x="20"/>
        <item x="158"/>
        <item x="2"/>
        <item x="194"/>
        <item x="138"/>
        <item x="10"/>
        <item x="137"/>
        <item x="125"/>
        <item x="140"/>
        <item x="111"/>
        <item x="45"/>
        <item x="189"/>
        <item x="56"/>
        <item x="146"/>
        <item x="6"/>
        <item x="54"/>
        <item x="107"/>
        <item x="18"/>
        <item x="153"/>
        <item x="103"/>
        <item x="33"/>
        <item x="117"/>
        <item x="53"/>
        <item x="84"/>
        <item x="196"/>
        <item x="62"/>
        <item x="109"/>
        <item x="13"/>
        <item x="38"/>
        <item x="170"/>
        <item x="24"/>
        <item x="98"/>
        <item x="48"/>
        <item x="15"/>
        <item x="178"/>
        <item x="55"/>
        <item x="44"/>
        <item x="9"/>
        <item x="83"/>
        <item x="64"/>
        <item x="3"/>
        <item x="100"/>
        <item x="19"/>
        <item x="11"/>
        <item x="184"/>
        <item x="183"/>
        <item x="37"/>
        <item x="41"/>
        <item x="185"/>
        <item x="74"/>
        <item x="16"/>
        <item x="135"/>
        <item x="42"/>
        <item x="110"/>
        <item x="58"/>
        <item x="49"/>
        <item x="106"/>
        <item x="182"/>
        <item x="25"/>
        <item x="105"/>
        <item x="23"/>
        <item x="1"/>
        <item x="30"/>
        <item x="72"/>
        <item x="114"/>
        <item x="40"/>
        <item x="187"/>
        <item x="46"/>
        <item x="129"/>
        <item x="87"/>
        <item x="197"/>
        <item x="134"/>
        <item x="128"/>
        <item x="174"/>
        <item x="97"/>
        <item x="22"/>
        <item x="147"/>
        <item x="113"/>
        <item x="192"/>
        <item x="82"/>
        <item x="60"/>
        <item x="90"/>
        <item x="180"/>
        <item x="86"/>
        <item x="121"/>
        <item x="152"/>
        <item x="35"/>
        <item x="144"/>
        <item x="179"/>
        <item x="164"/>
        <item x="118"/>
        <item x="155"/>
        <item x="73"/>
        <item x="150"/>
        <item x="50"/>
        <item x="132"/>
        <item x="169"/>
        <item x="101"/>
        <item x="65"/>
        <item x="123"/>
        <item x="31"/>
        <item x="142"/>
        <item x="193"/>
        <item x="108"/>
        <item x="120"/>
        <item x="94"/>
        <item x="26"/>
        <item x="139"/>
        <item x="52"/>
        <item x="195"/>
        <item x="89"/>
        <item x="78"/>
        <item x="133"/>
        <item x="119"/>
        <item x="95"/>
        <item x="17"/>
        <item x="99"/>
        <item x="66"/>
        <item x="8"/>
        <item x="92"/>
        <item x="81"/>
        <item x="143"/>
        <item x="28"/>
        <item x="149"/>
        <item x="148"/>
        <item x="14"/>
        <item x="191"/>
        <item x="57"/>
        <item x="173"/>
        <item x="181"/>
        <item x="122"/>
        <item x="104"/>
        <item x="177"/>
        <item x="71"/>
        <item x="127"/>
        <item x="172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Count of Invoice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00F8A-1D4B-4D18-B88B-BBBD817D03DA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:I16" firstHeaderRow="1" firstDataRow="1" firstDataCol="1"/>
  <pivotFields count="7">
    <pivotField showAll="0"/>
    <pivotField showAll="0"/>
    <pivotField axis="axisRow" showAll="0">
      <items count="13">
        <item x="0"/>
        <item x="5"/>
        <item x="4"/>
        <item x="9"/>
        <item x="2"/>
        <item x="7"/>
        <item x="3"/>
        <item x="1"/>
        <item x="10"/>
        <item x="11"/>
        <item x="8"/>
        <item x="6"/>
        <item t="default"/>
      </items>
    </pivotField>
    <pivotField showAll="0">
      <items count="201">
        <item x="77"/>
        <item x="47"/>
        <item x="39"/>
        <item x="161"/>
        <item x="70"/>
        <item x="27"/>
        <item x="0"/>
        <item x="79"/>
        <item x="115"/>
        <item x="80"/>
        <item x="136"/>
        <item x="32"/>
        <item x="93"/>
        <item x="7"/>
        <item x="156"/>
        <item x="130"/>
        <item x="141"/>
        <item x="36"/>
        <item x="85"/>
        <item x="162"/>
        <item x="91"/>
        <item x="21"/>
        <item x="61"/>
        <item x="190"/>
        <item x="124"/>
        <item x="151"/>
        <item x="5"/>
        <item x="112"/>
        <item x="29"/>
        <item x="67"/>
        <item x="68"/>
        <item x="166"/>
        <item x="171"/>
        <item x="165"/>
        <item x="75"/>
        <item x="116"/>
        <item x="157"/>
        <item x="167"/>
        <item x="43"/>
        <item x="131"/>
        <item x="88"/>
        <item x="154"/>
        <item x="199"/>
        <item x="69"/>
        <item x="12"/>
        <item x="102"/>
        <item x="186"/>
        <item x="76"/>
        <item x="4"/>
        <item x="145"/>
        <item x="59"/>
        <item x="160"/>
        <item x="159"/>
        <item x="126"/>
        <item x="188"/>
        <item x="51"/>
        <item x="168"/>
        <item x="163"/>
        <item x="96"/>
        <item x="176"/>
        <item x="198"/>
        <item x="175"/>
        <item x="63"/>
        <item x="34"/>
        <item x="20"/>
        <item x="158"/>
        <item x="2"/>
        <item x="194"/>
        <item x="138"/>
        <item x="10"/>
        <item x="137"/>
        <item x="125"/>
        <item x="140"/>
        <item x="111"/>
        <item x="45"/>
        <item x="189"/>
        <item x="56"/>
        <item x="146"/>
        <item x="6"/>
        <item x="54"/>
        <item x="107"/>
        <item x="18"/>
        <item x="153"/>
        <item x="103"/>
        <item x="33"/>
        <item x="117"/>
        <item x="53"/>
        <item x="84"/>
        <item x="196"/>
        <item x="62"/>
        <item x="109"/>
        <item x="13"/>
        <item x="38"/>
        <item x="170"/>
        <item x="24"/>
        <item x="98"/>
        <item x="48"/>
        <item x="15"/>
        <item x="178"/>
        <item x="55"/>
        <item x="44"/>
        <item x="9"/>
        <item x="83"/>
        <item x="64"/>
        <item x="3"/>
        <item x="100"/>
        <item x="19"/>
        <item x="11"/>
        <item x="184"/>
        <item x="183"/>
        <item x="37"/>
        <item x="41"/>
        <item x="185"/>
        <item x="74"/>
        <item x="16"/>
        <item x="135"/>
        <item x="42"/>
        <item x="110"/>
        <item x="58"/>
        <item x="49"/>
        <item x="106"/>
        <item x="182"/>
        <item x="25"/>
        <item x="105"/>
        <item x="23"/>
        <item x="1"/>
        <item x="30"/>
        <item x="72"/>
        <item x="114"/>
        <item x="40"/>
        <item x="187"/>
        <item x="46"/>
        <item x="129"/>
        <item x="87"/>
        <item x="197"/>
        <item x="134"/>
        <item x="128"/>
        <item x="174"/>
        <item x="97"/>
        <item x="22"/>
        <item x="147"/>
        <item x="113"/>
        <item x="192"/>
        <item x="82"/>
        <item x="60"/>
        <item x="90"/>
        <item x="180"/>
        <item x="86"/>
        <item x="121"/>
        <item x="152"/>
        <item x="35"/>
        <item x="144"/>
        <item x="179"/>
        <item x="164"/>
        <item x="118"/>
        <item x="155"/>
        <item x="73"/>
        <item x="150"/>
        <item x="50"/>
        <item x="132"/>
        <item x="169"/>
        <item x="101"/>
        <item x="65"/>
        <item x="123"/>
        <item x="31"/>
        <item x="142"/>
        <item x="193"/>
        <item x="108"/>
        <item x="120"/>
        <item x="94"/>
        <item x="26"/>
        <item x="139"/>
        <item x="52"/>
        <item x="195"/>
        <item x="89"/>
        <item x="78"/>
        <item x="133"/>
        <item x="119"/>
        <item x="95"/>
        <item x="17"/>
        <item x="99"/>
        <item x="66"/>
        <item x="8"/>
        <item x="92"/>
        <item x="81"/>
        <item x="143"/>
        <item x="28"/>
        <item x="149"/>
        <item x="148"/>
        <item x="14"/>
        <item x="191"/>
        <item x="57"/>
        <item x="173"/>
        <item x="181"/>
        <item x="122"/>
        <item x="104"/>
        <item x="177"/>
        <item x="71"/>
        <item x="127"/>
        <item x="172"/>
        <item t="default"/>
      </items>
    </pivotField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Amount" fld="6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680F9-A0DB-4B1E-B67C-2A7826316508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:F8" firstHeaderRow="1" firstDataRow="1" firstDataCol="1"/>
  <pivotFields count="6">
    <pivotField axis="axisRow" showAll="0" measureFilter="1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28"/>
    </i>
    <i>
      <x v="62"/>
    </i>
    <i>
      <x v="182"/>
    </i>
    <i>
      <x v="256"/>
    </i>
    <i>
      <x v="267"/>
    </i>
    <i t="grand">
      <x/>
    </i>
  </rowItems>
  <colItems count="1">
    <i/>
  </colItems>
  <dataFields count="1">
    <dataField name="Sum of Total_Amount" fld="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EA5FA-E836-4364-AB72-3B3FF74666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4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InvoiceNo" fld="0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6D075-1351-4876-9798-A79734ACB1AD}" name="Table1" displayName="Table1" ref="A3:F4" totalsRowShown="0">
  <autoFilter ref="A3:F4" xr:uid="{2F16D075-1351-4876-9798-A79734ACB1AD}"/>
  <tableColumns count="6">
    <tableColumn id="1" xr3:uid="{9349B0CC-E999-4BEB-B307-878F53E923D9}" name="InvoiceNo"/>
    <tableColumn id="2" xr3:uid="{6B3ED063-0D41-415F-B06F-774D430CA069}" name="CustomerID"/>
    <tableColumn id="3" xr3:uid="{42217DB2-D749-456B-A121-BEA2C47CF21D}" name="InvoiceDate"/>
    <tableColumn id="4" xr3:uid="{0E09066F-D73D-40AF-8101-5A6F85CE3F41}" name="Qty_Inv"/>
    <tableColumn id="5" xr3:uid="{6ADBE11C-2234-401E-A59C-05954FF0B7DA}" name="UnitPrice"/>
    <tableColumn id="6" xr3:uid="{C660A544-29AA-42CC-B5D4-97A1D28F3AAA}" name="Total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C2" sqref="C2:C301"/>
    </sheetView>
  </sheetViews>
  <sheetFormatPr defaultRowHeight="14.25" x14ac:dyDescent="0.45"/>
  <cols>
    <col min="1" max="1" width="8.53125" bestFit="1" customWidth="1"/>
    <col min="2" max="2" width="10.33203125" bestFit="1" customWidth="1"/>
    <col min="3" max="3" width="10.33203125" customWidth="1"/>
    <col min="4" max="4" width="10.3984375" style="6" bestFit="1" customWidth="1"/>
    <col min="6" max="6" width="8.1328125" bestFit="1" customWidth="1"/>
    <col min="7" max="7" width="12" bestFit="1" customWidth="1"/>
  </cols>
  <sheetData>
    <row r="1" spans="1:7" x14ac:dyDescent="0.45">
      <c r="A1" s="1" t="s">
        <v>0</v>
      </c>
      <c r="B1" s="1" t="s">
        <v>1</v>
      </c>
      <c r="C1" s="1" t="s">
        <v>855</v>
      </c>
      <c r="D1" s="5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t="s">
        <v>6</v>
      </c>
      <c r="B2" t="s">
        <v>7</v>
      </c>
      <c r="C2" t="str">
        <f>TEXT(D2,"mmmm")</f>
        <v>January</v>
      </c>
      <c r="D2" s="6" t="s">
        <v>8</v>
      </c>
      <c r="E2">
        <v>100</v>
      </c>
      <c r="F2">
        <v>200000</v>
      </c>
      <c r="G2">
        <v>20000000</v>
      </c>
    </row>
    <row r="3" spans="1:7" x14ac:dyDescent="0.45">
      <c r="A3" t="s">
        <v>9</v>
      </c>
      <c r="B3" t="s">
        <v>10</v>
      </c>
      <c r="C3" t="str">
        <f t="shared" ref="C3:C66" si="0">TEXT(D3,"mmmm")</f>
        <v>August</v>
      </c>
      <c r="D3" s="6" t="s">
        <v>11</v>
      </c>
      <c r="E3">
        <v>21</v>
      </c>
      <c r="F3">
        <v>100000</v>
      </c>
      <c r="G3">
        <v>2100000</v>
      </c>
    </row>
    <row r="4" spans="1:7" x14ac:dyDescent="0.45">
      <c r="A4" t="s">
        <v>12</v>
      </c>
      <c r="B4" t="s">
        <v>13</v>
      </c>
      <c r="C4" t="str">
        <f t="shared" si="0"/>
        <v>May</v>
      </c>
      <c r="D4" s="6" t="s">
        <v>14</v>
      </c>
      <c r="E4">
        <v>90</v>
      </c>
      <c r="F4">
        <v>150000</v>
      </c>
      <c r="G4">
        <v>13500000</v>
      </c>
    </row>
    <row r="5" spans="1:7" x14ac:dyDescent="0.45">
      <c r="A5" t="s">
        <v>15</v>
      </c>
      <c r="B5" t="s">
        <v>16</v>
      </c>
      <c r="C5" t="str">
        <f t="shared" si="0"/>
        <v>July</v>
      </c>
      <c r="D5" s="6" t="s">
        <v>17</v>
      </c>
      <c r="E5">
        <v>93</v>
      </c>
      <c r="F5">
        <v>75000</v>
      </c>
      <c r="G5">
        <v>6975000</v>
      </c>
    </row>
    <row r="6" spans="1:7" x14ac:dyDescent="0.45">
      <c r="A6" t="s">
        <v>18</v>
      </c>
      <c r="B6" t="s">
        <v>16</v>
      </c>
      <c r="C6" t="str">
        <f t="shared" si="0"/>
        <v>March</v>
      </c>
      <c r="D6" s="6" t="s">
        <v>19</v>
      </c>
      <c r="E6">
        <v>35</v>
      </c>
      <c r="F6">
        <v>100000</v>
      </c>
      <c r="G6">
        <v>3500000</v>
      </c>
    </row>
    <row r="7" spans="1:7" x14ac:dyDescent="0.45">
      <c r="A7" t="s">
        <v>20</v>
      </c>
      <c r="B7" t="s">
        <v>21</v>
      </c>
      <c r="C7" t="str">
        <f t="shared" si="0"/>
        <v>February</v>
      </c>
      <c r="D7" s="6" t="s">
        <v>22</v>
      </c>
      <c r="E7">
        <v>95</v>
      </c>
      <c r="F7">
        <v>50000</v>
      </c>
      <c r="G7">
        <v>4750000</v>
      </c>
    </row>
    <row r="8" spans="1:7" x14ac:dyDescent="0.45">
      <c r="A8" t="s">
        <v>23</v>
      </c>
      <c r="B8" t="s">
        <v>24</v>
      </c>
      <c r="C8" t="str">
        <f t="shared" si="0"/>
        <v>May</v>
      </c>
      <c r="D8" s="6" t="s">
        <v>25</v>
      </c>
      <c r="E8">
        <v>13</v>
      </c>
      <c r="F8">
        <v>50000</v>
      </c>
      <c r="G8">
        <v>650000</v>
      </c>
    </row>
    <row r="9" spans="1:7" x14ac:dyDescent="0.45">
      <c r="A9" t="s">
        <v>26</v>
      </c>
      <c r="B9" t="s">
        <v>27</v>
      </c>
      <c r="C9" t="str">
        <f t="shared" si="0"/>
        <v>January</v>
      </c>
      <c r="D9" s="6" t="s">
        <v>28</v>
      </c>
      <c r="E9">
        <v>34</v>
      </c>
      <c r="F9">
        <v>150000</v>
      </c>
      <c r="G9">
        <v>5100000</v>
      </c>
    </row>
    <row r="10" spans="1:7" x14ac:dyDescent="0.45">
      <c r="A10" t="s">
        <v>29</v>
      </c>
      <c r="B10" t="s">
        <v>30</v>
      </c>
      <c r="C10" t="str">
        <f t="shared" si="0"/>
        <v>December</v>
      </c>
      <c r="D10" s="6" t="s">
        <v>31</v>
      </c>
      <c r="E10">
        <v>24</v>
      </c>
      <c r="F10">
        <v>100000</v>
      </c>
      <c r="G10">
        <v>2400000</v>
      </c>
    </row>
    <row r="11" spans="1:7" x14ac:dyDescent="0.45">
      <c r="A11" t="s">
        <v>32</v>
      </c>
      <c r="B11" t="s">
        <v>33</v>
      </c>
      <c r="C11" t="str">
        <f t="shared" si="0"/>
        <v>July</v>
      </c>
      <c r="D11" s="6" t="s">
        <v>34</v>
      </c>
      <c r="E11">
        <v>75</v>
      </c>
      <c r="F11">
        <v>150000</v>
      </c>
      <c r="G11">
        <v>11250000</v>
      </c>
    </row>
    <row r="12" spans="1:7" x14ac:dyDescent="0.45">
      <c r="A12" t="s">
        <v>35</v>
      </c>
      <c r="B12" t="s">
        <v>36</v>
      </c>
      <c r="C12" t="str">
        <f t="shared" si="0"/>
        <v>May</v>
      </c>
      <c r="D12" s="6" t="s">
        <v>37</v>
      </c>
      <c r="E12">
        <v>97</v>
      </c>
      <c r="F12">
        <v>150000</v>
      </c>
      <c r="G12">
        <v>14550000</v>
      </c>
    </row>
    <row r="13" spans="1:7" x14ac:dyDescent="0.45">
      <c r="A13" t="s">
        <v>38</v>
      </c>
      <c r="B13" t="s">
        <v>39</v>
      </c>
      <c r="C13" t="str">
        <f t="shared" si="0"/>
        <v>July</v>
      </c>
      <c r="D13" s="6" t="s">
        <v>40</v>
      </c>
      <c r="E13">
        <v>98</v>
      </c>
      <c r="F13">
        <v>150000</v>
      </c>
      <c r="G13">
        <v>14700000</v>
      </c>
    </row>
    <row r="14" spans="1:7" x14ac:dyDescent="0.45">
      <c r="A14" t="s">
        <v>41</v>
      </c>
      <c r="B14" t="s">
        <v>42</v>
      </c>
      <c r="C14" t="str">
        <f t="shared" si="0"/>
        <v>March</v>
      </c>
      <c r="D14" s="6" t="s">
        <v>43</v>
      </c>
      <c r="E14">
        <v>43</v>
      </c>
      <c r="F14">
        <v>75000</v>
      </c>
      <c r="G14">
        <v>3225000</v>
      </c>
    </row>
    <row r="15" spans="1:7" x14ac:dyDescent="0.45">
      <c r="A15" t="s">
        <v>44</v>
      </c>
      <c r="B15" t="s">
        <v>45</v>
      </c>
      <c r="C15" t="str">
        <f t="shared" si="0"/>
        <v>June</v>
      </c>
      <c r="D15" s="6" t="s">
        <v>46</v>
      </c>
      <c r="E15">
        <v>71</v>
      </c>
      <c r="F15">
        <v>150000</v>
      </c>
      <c r="G15">
        <v>10650000</v>
      </c>
    </row>
    <row r="16" spans="1:7" x14ac:dyDescent="0.45">
      <c r="A16" t="s">
        <v>47</v>
      </c>
      <c r="B16" t="s">
        <v>48</v>
      </c>
      <c r="C16" t="str">
        <f t="shared" si="0"/>
        <v>December</v>
      </c>
      <c r="D16" s="6" t="s">
        <v>49</v>
      </c>
      <c r="E16">
        <v>68</v>
      </c>
      <c r="F16">
        <v>150000</v>
      </c>
      <c r="G16">
        <v>10200000</v>
      </c>
    </row>
    <row r="17" spans="1:7" x14ac:dyDescent="0.45">
      <c r="A17" t="s">
        <v>50</v>
      </c>
      <c r="B17" t="s">
        <v>27</v>
      </c>
      <c r="C17" t="str">
        <f t="shared" si="0"/>
        <v>July</v>
      </c>
      <c r="D17" s="6" t="s">
        <v>51</v>
      </c>
      <c r="E17">
        <v>11</v>
      </c>
      <c r="F17">
        <v>50000</v>
      </c>
      <c r="G17">
        <v>550000</v>
      </c>
    </row>
    <row r="18" spans="1:7" x14ac:dyDescent="0.45">
      <c r="A18" t="s">
        <v>52</v>
      </c>
      <c r="B18" t="s">
        <v>21</v>
      </c>
      <c r="C18" t="str">
        <f t="shared" si="0"/>
        <v>August</v>
      </c>
      <c r="D18" s="6" t="s">
        <v>53</v>
      </c>
      <c r="E18">
        <v>63</v>
      </c>
      <c r="F18">
        <v>150000</v>
      </c>
      <c r="G18">
        <v>9450000</v>
      </c>
    </row>
    <row r="19" spans="1:7" x14ac:dyDescent="0.45">
      <c r="A19" t="s">
        <v>54</v>
      </c>
      <c r="B19" t="s">
        <v>55</v>
      </c>
      <c r="C19" t="str">
        <f t="shared" si="0"/>
        <v>November</v>
      </c>
      <c r="D19" s="6" t="s">
        <v>56</v>
      </c>
      <c r="E19">
        <v>26</v>
      </c>
      <c r="F19">
        <v>50000</v>
      </c>
      <c r="G19">
        <v>1300000</v>
      </c>
    </row>
    <row r="20" spans="1:7" x14ac:dyDescent="0.45">
      <c r="A20" t="s">
        <v>57</v>
      </c>
      <c r="B20" t="s">
        <v>58</v>
      </c>
      <c r="C20" t="str">
        <f t="shared" si="0"/>
        <v>June</v>
      </c>
      <c r="D20" s="6" t="s">
        <v>59</v>
      </c>
      <c r="E20">
        <v>79</v>
      </c>
      <c r="F20">
        <v>50000</v>
      </c>
      <c r="G20">
        <v>3950000</v>
      </c>
    </row>
    <row r="21" spans="1:7" x14ac:dyDescent="0.45">
      <c r="A21" t="s">
        <v>60</v>
      </c>
      <c r="B21" t="s">
        <v>61</v>
      </c>
      <c r="C21" t="str">
        <f t="shared" si="0"/>
        <v>July</v>
      </c>
      <c r="D21" s="6" t="s">
        <v>62</v>
      </c>
      <c r="E21">
        <v>34</v>
      </c>
      <c r="F21">
        <v>200000</v>
      </c>
      <c r="G21">
        <v>6800000</v>
      </c>
    </row>
    <row r="22" spans="1:7" x14ac:dyDescent="0.45">
      <c r="A22" t="s">
        <v>63</v>
      </c>
      <c r="B22" t="s">
        <v>64</v>
      </c>
      <c r="C22" t="str">
        <f t="shared" si="0"/>
        <v>April</v>
      </c>
      <c r="D22" s="6" t="s">
        <v>65</v>
      </c>
      <c r="E22">
        <v>89</v>
      </c>
      <c r="F22">
        <v>200000</v>
      </c>
      <c r="G22">
        <v>17800000</v>
      </c>
    </row>
    <row r="23" spans="1:7" x14ac:dyDescent="0.45">
      <c r="A23" t="s">
        <v>66</v>
      </c>
      <c r="B23" t="s">
        <v>16</v>
      </c>
      <c r="C23" t="str">
        <f t="shared" si="0"/>
        <v>February</v>
      </c>
      <c r="D23" s="6" t="s">
        <v>67</v>
      </c>
      <c r="E23">
        <v>49</v>
      </c>
      <c r="F23">
        <v>150000</v>
      </c>
      <c r="G23">
        <v>7350000</v>
      </c>
    </row>
    <row r="24" spans="1:7" x14ac:dyDescent="0.45">
      <c r="A24" t="s">
        <v>68</v>
      </c>
      <c r="B24" t="s">
        <v>39</v>
      </c>
      <c r="C24" t="str">
        <f t="shared" si="0"/>
        <v>September</v>
      </c>
      <c r="D24" s="6" t="s">
        <v>69</v>
      </c>
      <c r="E24">
        <v>94</v>
      </c>
      <c r="F24">
        <v>100000</v>
      </c>
      <c r="G24">
        <v>9400000</v>
      </c>
    </row>
    <row r="25" spans="1:7" x14ac:dyDescent="0.45">
      <c r="A25" t="s">
        <v>70</v>
      </c>
      <c r="B25" t="s">
        <v>61</v>
      </c>
      <c r="C25" t="str">
        <f t="shared" si="0"/>
        <v>August</v>
      </c>
      <c r="D25" s="6" t="s">
        <v>71</v>
      </c>
      <c r="E25">
        <v>59</v>
      </c>
      <c r="F25">
        <v>50000</v>
      </c>
      <c r="G25">
        <v>2950000</v>
      </c>
    </row>
    <row r="26" spans="1:7" x14ac:dyDescent="0.45">
      <c r="A26" t="s">
        <v>72</v>
      </c>
      <c r="B26" t="s">
        <v>30</v>
      </c>
      <c r="C26" t="str">
        <f t="shared" si="0"/>
        <v>June</v>
      </c>
      <c r="D26" s="6" t="s">
        <v>73</v>
      </c>
      <c r="E26">
        <v>18</v>
      </c>
      <c r="F26">
        <v>100000</v>
      </c>
      <c r="G26">
        <v>1800000</v>
      </c>
    </row>
    <row r="27" spans="1:7" x14ac:dyDescent="0.45">
      <c r="A27" t="s">
        <v>74</v>
      </c>
      <c r="B27" t="s">
        <v>75</v>
      </c>
      <c r="C27" t="str">
        <f t="shared" si="0"/>
        <v>August</v>
      </c>
      <c r="D27" s="6" t="s">
        <v>76</v>
      </c>
      <c r="E27">
        <v>58</v>
      </c>
      <c r="F27">
        <v>75000</v>
      </c>
      <c r="G27">
        <v>4350000</v>
      </c>
    </row>
    <row r="28" spans="1:7" x14ac:dyDescent="0.45">
      <c r="A28" t="s">
        <v>77</v>
      </c>
      <c r="B28" t="s">
        <v>78</v>
      </c>
      <c r="C28" t="str">
        <f t="shared" si="0"/>
        <v>November</v>
      </c>
      <c r="D28" s="6" t="s">
        <v>79</v>
      </c>
      <c r="E28">
        <v>44</v>
      </c>
      <c r="F28">
        <v>150000</v>
      </c>
      <c r="G28">
        <v>6600000</v>
      </c>
    </row>
    <row r="29" spans="1:7" x14ac:dyDescent="0.45">
      <c r="A29" t="s">
        <v>80</v>
      </c>
      <c r="B29" t="s">
        <v>7</v>
      </c>
      <c r="C29" t="str">
        <f t="shared" si="0"/>
        <v>January</v>
      </c>
      <c r="D29" s="6" t="s">
        <v>81</v>
      </c>
      <c r="E29">
        <v>18</v>
      </c>
      <c r="F29">
        <v>100000</v>
      </c>
      <c r="G29">
        <v>1800000</v>
      </c>
    </row>
    <row r="30" spans="1:7" x14ac:dyDescent="0.45">
      <c r="A30" t="s">
        <v>82</v>
      </c>
      <c r="B30" t="s">
        <v>83</v>
      </c>
      <c r="C30" t="str">
        <f t="shared" si="0"/>
        <v>December</v>
      </c>
      <c r="D30" s="6" t="s">
        <v>84</v>
      </c>
      <c r="E30">
        <v>93</v>
      </c>
      <c r="F30">
        <v>200000</v>
      </c>
      <c r="G30">
        <v>18600000</v>
      </c>
    </row>
    <row r="31" spans="1:7" x14ac:dyDescent="0.45">
      <c r="A31" t="s">
        <v>85</v>
      </c>
      <c r="B31" t="s">
        <v>24</v>
      </c>
      <c r="C31" t="str">
        <f t="shared" si="0"/>
        <v>February</v>
      </c>
      <c r="D31" s="6" t="s">
        <v>86</v>
      </c>
      <c r="E31">
        <v>66</v>
      </c>
      <c r="F31">
        <v>50000</v>
      </c>
      <c r="G31">
        <v>3300000</v>
      </c>
    </row>
    <row r="32" spans="1:7" x14ac:dyDescent="0.45">
      <c r="A32" t="s">
        <v>87</v>
      </c>
      <c r="B32" t="s">
        <v>30</v>
      </c>
      <c r="C32" t="str">
        <f t="shared" si="0"/>
        <v>August</v>
      </c>
      <c r="D32" s="6" t="s">
        <v>88</v>
      </c>
      <c r="E32">
        <v>99</v>
      </c>
      <c r="F32">
        <v>100000</v>
      </c>
      <c r="G32">
        <v>9900000</v>
      </c>
    </row>
    <row r="33" spans="1:7" x14ac:dyDescent="0.45">
      <c r="A33" t="s">
        <v>89</v>
      </c>
      <c r="B33" t="s">
        <v>90</v>
      </c>
      <c r="C33" t="str">
        <f t="shared" si="0"/>
        <v>November</v>
      </c>
      <c r="D33" s="6" t="s">
        <v>79</v>
      </c>
      <c r="E33">
        <v>64</v>
      </c>
      <c r="F33">
        <v>50000</v>
      </c>
      <c r="G33">
        <v>3200000</v>
      </c>
    </row>
    <row r="34" spans="1:7" x14ac:dyDescent="0.45">
      <c r="A34" t="s">
        <v>91</v>
      </c>
      <c r="B34" t="s">
        <v>92</v>
      </c>
      <c r="C34" t="str">
        <f t="shared" si="0"/>
        <v>October</v>
      </c>
      <c r="D34" s="6" t="s">
        <v>93</v>
      </c>
      <c r="E34">
        <v>53</v>
      </c>
      <c r="F34">
        <v>150000</v>
      </c>
      <c r="G34">
        <v>7950000</v>
      </c>
    </row>
    <row r="35" spans="1:7" x14ac:dyDescent="0.45">
      <c r="A35" t="s">
        <v>94</v>
      </c>
      <c r="B35" t="s">
        <v>95</v>
      </c>
      <c r="C35" t="str">
        <f t="shared" si="0"/>
        <v>January</v>
      </c>
      <c r="D35" s="6" t="s">
        <v>96</v>
      </c>
      <c r="E35">
        <v>68</v>
      </c>
      <c r="F35">
        <v>75000</v>
      </c>
      <c r="G35">
        <v>5100000</v>
      </c>
    </row>
    <row r="36" spans="1:7" x14ac:dyDescent="0.45">
      <c r="A36" t="s">
        <v>97</v>
      </c>
      <c r="B36" t="s">
        <v>75</v>
      </c>
      <c r="C36" t="str">
        <f t="shared" si="0"/>
        <v>June</v>
      </c>
      <c r="D36" s="6" t="s">
        <v>98</v>
      </c>
      <c r="E36">
        <v>77</v>
      </c>
      <c r="F36">
        <v>150000</v>
      </c>
      <c r="G36">
        <v>11550000</v>
      </c>
    </row>
    <row r="37" spans="1:7" x14ac:dyDescent="0.45">
      <c r="A37" t="s">
        <v>99</v>
      </c>
      <c r="B37" t="s">
        <v>83</v>
      </c>
      <c r="C37" t="str">
        <f t="shared" si="0"/>
        <v>April</v>
      </c>
      <c r="D37" s="6" t="s">
        <v>100</v>
      </c>
      <c r="E37">
        <v>43</v>
      </c>
      <c r="F37">
        <v>150000</v>
      </c>
      <c r="G37">
        <v>6450000</v>
      </c>
    </row>
    <row r="38" spans="1:7" x14ac:dyDescent="0.45">
      <c r="A38" t="s">
        <v>101</v>
      </c>
      <c r="B38" t="s">
        <v>10</v>
      </c>
      <c r="C38" t="str">
        <f t="shared" si="0"/>
        <v>October</v>
      </c>
      <c r="D38" s="6" t="s">
        <v>102</v>
      </c>
      <c r="E38">
        <v>17</v>
      </c>
      <c r="F38">
        <v>200000</v>
      </c>
      <c r="G38">
        <v>3400000</v>
      </c>
    </row>
    <row r="39" spans="1:7" x14ac:dyDescent="0.45">
      <c r="A39" t="s">
        <v>103</v>
      </c>
      <c r="B39" t="s">
        <v>42</v>
      </c>
      <c r="C39" t="str">
        <f t="shared" si="0"/>
        <v>February</v>
      </c>
      <c r="D39" s="6" t="s">
        <v>104</v>
      </c>
      <c r="E39">
        <v>92</v>
      </c>
      <c r="F39">
        <v>200000</v>
      </c>
      <c r="G39">
        <v>18400000</v>
      </c>
    </row>
    <row r="40" spans="1:7" x14ac:dyDescent="0.45">
      <c r="A40" t="s">
        <v>105</v>
      </c>
      <c r="B40" t="s">
        <v>106</v>
      </c>
      <c r="C40" t="str">
        <f t="shared" si="0"/>
        <v>July</v>
      </c>
      <c r="D40" s="6" t="s">
        <v>107</v>
      </c>
      <c r="E40">
        <v>55</v>
      </c>
      <c r="F40">
        <v>100000</v>
      </c>
      <c r="G40">
        <v>5500000</v>
      </c>
    </row>
    <row r="41" spans="1:7" x14ac:dyDescent="0.45">
      <c r="A41" t="s">
        <v>108</v>
      </c>
      <c r="B41" t="s">
        <v>30</v>
      </c>
      <c r="C41" t="str">
        <f t="shared" si="0"/>
        <v>June</v>
      </c>
      <c r="D41" s="6" t="s">
        <v>109</v>
      </c>
      <c r="E41">
        <v>9</v>
      </c>
      <c r="F41">
        <v>100000</v>
      </c>
      <c r="G41">
        <v>900000</v>
      </c>
    </row>
    <row r="42" spans="1:7" x14ac:dyDescent="0.45">
      <c r="A42" t="s">
        <v>110</v>
      </c>
      <c r="B42" t="s">
        <v>111</v>
      </c>
      <c r="C42" t="str">
        <f t="shared" si="0"/>
        <v>January</v>
      </c>
      <c r="D42" s="6" t="s">
        <v>112</v>
      </c>
      <c r="E42">
        <v>50</v>
      </c>
      <c r="F42">
        <v>75000</v>
      </c>
      <c r="G42">
        <v>3750000</v>
      </c>
    </row>
    <row r="43" spans="1:7" x14ac:dyDescent="0.45">
      <c r="A43" t="s">
        <v>113</v>
      </c>
      <c r="B43" t="s">
        <v>24</v>
      </c>
      <c r="C43" t="str">
        <f t="shared" si="0"/>
        <v>September</v>
      </c>
      <c r="D43" s="6" t="s">
        <v>114</v>
      </c>
      <c r="E43">
        <v>74</v>
      </c>
      <c r="F43">
        <v>150000</v>
      </c>
      <c r="G43">
        <v>11100000</v>
      </c>
    </row>
    <row r="44" spans="1:7" x14ac:dyDescent="0.45">
      <c r="A44" t="s">
        <v>115</v>
      </c>
      <c r="B44" t="s">
        <v>39</v>
      </c>
      <c r="C44" t="str">
        <f t="shared" si="0"/>
        <v>June</v>
      </c>
      <c r="D44" s="6" t="s">
        <v>109</v>
      </c>
      <c r="E44">
        <v>24</v>
      </c>
      <c r="F44">
        <v>75000</v>
      </c>
      <c r="G44">
        <v>1800000</v>
      </c>
    </row>
    <row r="45" spans="1:7" x14ac:dyDescent="0.45">
      <c r="A45" t="s">
        <v>116</v>
      </c>
      <c r="B45" t="s">
        <v>24</v>
      </c>
      <c r="C45" t="str">
        <f t="shared" si="0"/>
        <v>July</v>
      </c>
      <c r="D45" s="6" t="s">
        <v>117</v>
      </c>
      <c r="E45">
        <v>30</v>
      </c>
      <c r="F45">
        <v>150000</v>
      </c>
      <c r="G45">
        <v>4500000</v>
      </c>
    </row>
    <row r="46" spans="1:7" x14ac:dyDescent="0.45">
      <c r="A46" t="s">
        <v>118</v>
      </c>
      <c r="B46" t="s">
        <v>119</v>
      </c>
      <c r="C46" t="str">
        <f t="shared" si="0"/>
        <v>August</v>
      </c>
      <c r="D46" s="6" t="s">
        <v>120</v>
      </c>
      <c r="E46">
        <v>60</v>
      </c>
      <c r="F46">
        <v>100000</v>
      </c>
      <c r="G46">
        <v>6000000</v>
      </c>
    </row>
    <row r="47" spans="1:7" x14ac:dyDescent="0.45">
      <c r="A47" t="s">
        <v>121</v>
      </c>
      <c r="B47" t="s">
        <v>16</v>
      </c>
      <c r="C47" t="str">
        <f t="shared" si="0"/>
        <v>March</v>
      </c>
      <c r="D47" s="6" t="s">
        <v>122</v>
      </c>
      <c r="E47">
        <v>95</v>
      </c>
      <c r="F47">
        <v>150000</v>
      </c>
      <c r="G47">
        <v>14250000</v>
      </c>
    </row>
    <row r="48" spans="1:7" x14ac:dyDescent="0.45">
      <c r="A48" t="s">
        <v>123</v>
      </c>
      <c r="B48" t="s">
        <v>21</v>
      </c>
      <c r="C48" t="str">
        <f t="shared" si="0"/>
        <v>July</v>
      </c>
      <c r="D48" s="6" t="s">
        <v>124</v>
      </c>
      <c r="E48">
        <v>56</v>
      </c>
      <c r="F48">
        <v>75000</v>
      </c>
      <c r="G48">
        <v>4200000</v>
      </c>
    </row>
    <row r="49" spans="1:7" x14ac:dyDescent="0.45">
      <c r="A49" t="s">
        <v>125</v>
      </c>
      <c r="B49" t="s">
        <v>36</v>
      </c>
      <c r="C49" t="str">
        <f t="shared" si="0"/>
        <v>May</v>
      </c>
      <c r="D49" s="6" t="s">
        <v>126</v>
      </c>
      <c r="E49">
        <v>42</v>
      </c>
      <c r="F49">
        <v>50000</v>
      </c>
      <c r="G49">
        <v>2100000</v>
      </c>
    </row>
    <row r="50" spans="1:7" x14ac:dyDescent="0.45">
      <c r="A50" t="s">
        <v>127</v>
      </c>
      <c r="B50" t="s">
        <v>24</v>
      </c>
      <c r="C50" t="str">
        <f t="shared" si="0"/>
        <v>September</v>
      </c>
      <c r="D50" s="6" t="s">
        <v>128</v>
      </c>
      <c r="E50">
        <v>34</v>
      </c>
      <c r="F50">
        <v>150000</v>
      </c>
      <c r="G50">
        <v>5100000</v>
      </c>
    </row>
    <row r="51" spans="1:7" x14ac:dyDescent="0.45">
      <c r="A51" t="s">
        <v>129</v>
      </c>
      <c r="B51" t="s">
        <v>39</v>
      </c>
      <c r="C51" t="str">
        <f t="shared" si="0"/>
        <v>January</v>
      </c>
      <c r="D51" s="6" t="s">
        <v>130</v>
      </c>
      <c r="E51">
        <v>26</v>
      </c>
      <c r="F51">
        <v>200000</v>
      </c>
      <c r="G51">
        <v>5200000</v>
      </c>
    </row>
    <row r="52" spans="1:7" x14ac:dyDescent="0.45">
      <c r="A52" t="s">
        <v>131</v>
      </c>
      <c r="B52" t="s">
        <v>42</v>
      </c>
      <c r="C52" t="str">
        <f t="shared" si="0"/>
        <v>July</v>
      </c>
      <c r="D52" s="6" t="s">
        <v>132</v>
      </c>
      <c r="E52">
        <v>94</v>
      </c>
      <c r="F52">
        <v>50000</v>
      </c>
      <c r="G52">
        <v>4700000</v>
      </c>
    </row>
    <row r="53" spans="1:7" x14ac:dyDescent="0.45">
      <c r="A53" t="s">
        <v>133</v>
      </c>
      <c r="B53" t="s">
        <v>134</v>
      </c>
      <c r="C53" t="str">
        <f t="shared" si="0"/>
        <v>August</v>
      </c>
      <c r="D53" s="6" t="s">
        <v>135</v>
      </c>
      <c r="E53">
        <v>9</v>
      </c>
      <c r="F53">
        <v>75000</v>
      </c>
      <c r="G53">
        <v>675000</v>
      </c>
    </row>
    <row r="54" spans="1:7" x14ac:dyDescent="0.45">
      <c r="A54" t="s">
        <v>136</v>
      </c>
      <c r="B54" t="s">
        <v>95</v>
      </c>
      <c r="C54" t="str">
        <f t="shared" si="0"/>
        <v>October</v>
      </c>
      <c r="D54" s="6" t="s">
        <v>137</v>
      </c>
      <c r="E54">
        <v>56</v>
      </c>
      <c r="F54">
        <v>100000</v>
      </c>
      <c r="G54">
        <v>5600000</v>
      </c>
    </row>
    <row r="55" spans="1:7" x14ac:dyDescent="0.45">
      <c r="A55" t="s">
        <v>138</v>
      </c>
      <c r="B55" t="s">
        <v>139</v>
      </c>
      <c r="C55" t="str">
        <f t="shared" si="0"/>
        <v>April</v>
      </c>
      <c r="D55" s="6" t="s">
        <v>140</v>
      </c>
      <c r="E55">
        <v>6</v>
      </c>
      <c r="F55">
        <v>100000</v>
      </c>
      <c r="G55">
        <v>600000</v>
      </c>
    </row>
    <row r="56" spans="1:7" x14ac:dyDescent="0.45">
      <c r="A56" t="s">
        <v>141</v>
      </c>
      <c r="B56" t="s">
        <v>64</v>
      </c>
      <c r="C56" t="str">
        <f t="shared" si="0"/>
        <v>November</v>
      </c>
      <c r="D56" s="6" t="s">
        <v>142</v>
      </c>
      <c r="E56">
        <v>45</v>
      </c>
      <c r="F56">
        <v>100000</v>
      </c>
      <c r="G56">
        <v>4500000</v>
      </c>
    </row>
    <row r="57" spans="1:7" x14ac:dyDescent="0.45">
      <c r="A57" t="s">
        <v>143</v>
      </c>
      <c r="B57" t="s">
        <v>83</v>
      </c>
      <c r="C57" t="str">
        <f t="shared" si="0"/>
        <v>June</v>
      </c>
      <c r="D57" s="6" t="s">
        <v>144</v>
      </c>
      <c r="E57">
        <v>66</v>
      </c>
      <c r="F57">
        <v>50000</v>
      </c>
      <c r="G57">
        <v>3300000</v>
      </c>
    </row>
    <row r="58" spans="1:7" x14ac:dyDescent="0.45">
      <c r="A58" t="s">
        <v>145</v>
      </c>
      <c r="B58" t="s">
        <v>39</v>
      </c>
      <c r="C58" t="str">
        <f t="shared" si="0"/>
        <v>May</v>
      </c>
      <c r="D58" s="6" t="s">
        <v>146</v>
      </c>
      <c r="E58">
        <v>52</v>
      </c>
      <c r="F58">
        <v>50000</v>
      </c>
      <c r="G58">
        <v>2600000</v>
      </c>
    </row>
    <row r="59" spans="1:7" x14ac:dyDescent="0.45">
      <c r="A59" t="s">
        <v>147</v>
      </c>
      <c r="B59" t="s">
        <v>48</v>
      </c>
      <c r="C59" t="str">
        <f t="shared" si="0"/>
        <v>July</v>
      </c>
      <c r="D59" s="6" t="s">
        <v>148</v>
      </c>
      <c r="E59">
        <v>79</v>
      </c>
      <c r="F59">
        <v>75000</v>
      </c>
      <c r="G59">
        <v>5925000</v>
      </c>
    </row>
    <row r="60" spans="1:7" x14ac:dyDescent="0.45">
      <c r="A60" t="s">
        <v>149</v>
      </c>
      <c r="B60" t="s">
        <v>75</v>
      </c>
      <c r="C60" t="str">
        <f t="shared" si="0"/>
        <v>May</v>
      </c>
      <c r="D60" s="6" t="s">
        <v>150</v>
      </c>
      <c r="E60">
        <v>75</v>
      </c>
      <c r="F60">
        <v>200000</v>
      </c>
      <c r="G60">
        <v>15000000</v>
      </c>
    </row>
    <row r="61" spans="1:7" x14ac:dyDescent="0.45">
      <c r="A61" t="s">
        <v>151</v>
      </c>
      <c r="B61" t="s">
        <v>152</v>
      </c>
      <c r="C61" t="str">
        <f t="shared" si="0"/>
        <v>December</v>
      </c>
      <c r="D61" s="6" t="s">
        <v>153</v>
      </c>
      <c r="E61">
        <v>98</v>
      </c>
      <c r="F61">
        <v>50000</v>
      </c>
      <c r="G61">
        <v>4900000</v>
      </c>
    </row>
    <row r="62" spans="1:7" x14ac:dyDescent="0.45">
      <c r="A62" t="s">
        <v>154</v>
      </c>
      <c r="B62" t="s">
        <v>155</v>
      </c>
      <c r="C62" t="str">
        <f t="shared" si="0"/>
        <v>August</v>
      </c>
      <c r="D62" s="6" t="s">
        <v>156</v>
      </c>
      <c r="E62">
        <v>63</v>
      </c>
      <c r="F62">
        <v>50000</v>
      </c>
      <c r="G62">
        <v>3150000</v>
      </c>
    </row>
    <row r="63" spans="1:7" x14ac:dyDescent="0.45">
      <c r="A63" t="s">
        <v>157</v>
      </c>
      <c r="B63" t="s">
        <v>13</v>
      </c>
      <c r="C63" t="str">
        <f t="shared" si="0"/>
        <v>April</v>
      </c>
      <c r="D63" s="6" t="s">
        <v>158</v>
      </c>
      <c r="E63">
        <v>53</v>
      </c>
      <c r="F63">
        <v>50000</v>
      </c>
      <c r="G63">
        <v>2650000</v>
      </c>
    </row>
    <row r="64" spans="1:7" x14ac:dyDescent="0.45">
      <c r="A64" t="s">
        <v>159</v>
      </c>
      <c r="B64" t="s">
        <v>30</v>
      </c>
      <c r="C64" t="str">
        <f t="shared" si="0"/>
        <v>September</v>
      </c>
      <c r="D64" s="6" t="s">
        <v>160</v>
      </c>
      <c r="E64">
        <v>94</v>
      </c>
      <c r="F64">
        <v>200000</v>
      </c>
      <c r="G64">
        <v>18800000</v>
      </c>
    </row>
    <row r="65" spans="1:7" x14ac:dyDescent="0.45">
      <c r="A65" t="s">
        <v>161</v>
      </c>
      <c r="B65" t="s">
        <v>36</v>
      </c>
      <c r="C65" t="str">
        <f t="shared" si="0"/>
        <v>February</v>
      </c>
      <c r="D65" s="6" t="s">
        <v>162</v>
      </c>
      <c r="E65">
        <v>81</v>
      </c>
      <c r="F65">
        <v>150000</v>
      </c>
      <c r="G65">
        <v>12150000</v>
      </c>
    </row>
    <row r="66" spans="1:7" x14ac:dyDescent="0.45">
      <c r="A66" t="s">
        <v>163</v>
      </c>
      <c r="B66" t="s">
        <v>58</v>
      </c>
      <c r="C66" t="str">
        <f t="shared" si="0"/>
        <v>June</v>
      </c>
      <c r="D66" s="6" t="s">
        <v>164</v>
      </c>
      <c r="E66">
        <v>100</v>
      </c>
      <c r="F66">
        <v>75000</v>
      </c>
      <c r="G66">
        <v>7500000</v>
      </c>
    </row>
    <row r="67" spans="1:7" x14ac:dyDescent="0.45">
      <c r="A67" t="s">
        <v>165</v>
      </c>
      <c r="B67" t="s">
        <v>64</v>
      </c>
      <c r="C67" t="str">
        <f t="shared" ref="C67:C130" si="1">TEXT(D67,"mmmm")</f>
        <v>April</v>
      </c>
      <c r="D67" s="6" t="s">
        <v>166</v>
      </c>
      <c r="E67">
        <v>18</v>
      </c>
      <c r="F67">
        <v>150000</v>
      </c>
      <c r="G67">
        <v>2700000</v>
      </c>
    </row>
    <row r="68" spans="1:7" x14ac:dyDescent="0.45">
      <c r="A68" t="s">
        <v>167</v>
      </c>
      <c r="B68" t="s">
        <v>106</v>
      </c>
      <c r="C68" t="str">
        <f t="shared" si="1"/>
        <v>July</v>
      </c>
      <c r="D68" s="6" t="s">
        <v>168</v>
      </c>
      <c r="E68">
        <v>52</v>
      </c>
      <c r="F68">
        <v>150000</v>
      </c>
      <c r="G68">
        <v>7800000</v>
      </c>
    </row>
    <row r="69" spans="1:7" x14ac:dyDescent="0.45">
      <c r="A69" t="s">
        <v>169</v>
      </c>
      <c r="B69" t="s">
        <v>119</v>
      </c>
      <c r="C69" t="str">
        <f t="shared" si="1"/>
        <v>October</v>
      </c>
      <c r="D69" s="6" t="s">
        <v>170</v>
      </c>
      <c r="E69">
        <v>9</v>
      </c>
      <c r="F69">
        <v>150000</v>
      </c>
      <c r="G69">
        <v>1350000</v>
      </c>
    </row>
    <row r="70" spans="1:7" x14ac:dyDescent="0.45">
      <c r="A70" t="s">
        <v>171</v>
      </c>
      <c r="B70" t="s">
        <v>172</v>
      </c>
      <c r="C70" t="str">
        <f t="shared" si="1"/>
        <v>November</v>
      </c>
      <c r="D70" s="6" t="s">
        <v>173</v>
      </c>
      <c r="E70">
        <v>61</v>
      </c>
      <c r="F70">
        <v>200000</v>
      </c>
      <c r="G70">
        <v>12200000</v>
      </c>
    </row>
    <row r="71" spans="1:7" x14ac:dyDescent="0.45">
      <c r="A71" t="s">
        <v>174</v>
      </c>
      <c r="B71" t="s">
        <v>172</v>
      </c>
      <c r="C71" t="str">
        <f t="shared" si="1"/>
        <v>August</v>
      </c>
      <c r="D71" s="6" t="s">
        <v>11</v>
      </c>
      <c r="E71">
        <v>60</v>
      </c>
      <c r="F71">
        <v>150000</v>
      </c>
      <c r="G71">
        <v>9000000</v>
      </c>
    </row>
    <row r="72" spans="1:7" x14ac:dyDescent="0.45">
      <c r="A72" t="s">
        <v>175</v>
      </c>
      <c r="B72" t="s">
        <v>7</v>
      </c>
      <c r="C72" t="str">
        <f t="shared" si="1"/>
        <v>February</v>
      </c>
      <c r="D72" s="6" t="s">
        <v>176</v>
      </c>
      <c r="E72">
        <v>74</v>
      </c>
      <c r="F72">
        <v>200000</v>
      </c>
      <c r="G72">
        <v>14800000</v>
      </c>
    </row>
    <row r="73" spans="1:7" x14ac:dyDescent="0.45">
      <c r="A73" t="s">
        <v>177</v>
      </c>
      <c r="B73" t="s">
        <v>178</v>
      </c>
      <c r="C73" t="str">
        <f t="shared" si="1"/>
        <v>February</v>
      </c>
      <c r="D73" s="6" t="s">
        <v>179</v>
      </c>
      <c r="E73">
        <v>63</v>
      </c>
      <c r="F73">
        <v>75000</v>
      </c>
      <c r="G73">
        <v>4725000</v>
      </c>
    </row>
    <row r="74" spans="1:7" x14ac:dyDescent="0.45">
      <c r="A74" t="s">
        <v>180</v>
      </c>
      <c r="B74" t="s">
        <v>178</v>
      </c>
      <c r="C74" t="str">
        <f t="shared" si="1"/>
        <v>March</v>
      </c>
      <c r="D74" s="6" t="s">
        <v>181</v>
      </c>
      <c r="E74">
        <v>39</v>
      </c>
      <c r="F74">
        <v>50000</v>
      </c>
      <c r="G74">
        <v>1950000</v>
      </c>
    </row>
    <row r="75" spans="1:7" x14ac:dyDescent="0.45">
      <c r="A75" t="s">
        <v>182</v>
      </c>
      <c r="B75" t="s">
        <v>33</v>
      </c>
      <c r="C75" t="str">
        <f t="shared" si="1"/>
        <v>June</v>
      </c>
      <c r="D75" s="6" t="s">
        <v>59</v>
      </c>
      <c r="E75">
        <v>55</v>
      </c>
      <c r="F75">
        <v>150000</v>
      </c>
      <c r="G75">
        <v>8250000</v>
      </c>
    </row>
    <row r="76" spans="1:7" x14ac:dyDescent="0.45">
      <c r="A76" t="s">
        <v>183</v>
      </c>
      <c r="B76" t="s">
        <v>172</v>
      </c>
      <c r="C76" t="str">
        <f t="shared" si="1"/>
        <v>January</v>
      </c>
      <c r="D76" s="6" t="s">
        <v>184</v>
      </c>
      <c r="E76">
        <v>22</v>
      </c>
      <c r="F76">
        <v>100000</v>
      </c>
      <c r="G76">
        <v>2200000</v>
      </c>
    </row>
    <row r="77" spans="1:7" x14ac:dyDescent="0.45">
      <c r="A77" t="s">
        <v>185</v>
      </c>
      <c r="B77" t="s">
        <v>186</v>
      </c>
      <c r="C77" t="str">
        <f t="shared" si="1"/>
        <v>December</v>
      </c>
      <c r="D77" s="6" t="s">
        <v>187</v>
      </c>
      <c r="E77">
        <v>64</v>
      </c>
      <c r="F77">
        <v>75000</v>
      </c>
      <c r="G77">
        <v>4800000</v>
      </c>
    </row>
    <row r="78" spans="1:7" x14ac:dyDescent="0.45">
      <c r="A78" t="s">
        <v>188</v>
      </c>
      <c r="B78" t="s">
        <v>178</v>
      </c>
      <c r="C78" t="str">
        <f t="shared" si="1"/>
        <v>August</v>
      </c>
      <c r="D78" s="6" t="s">
        <v>189</v>
      </c>
      <c r="E78">
        <v>12</v>
      </c>
      <c r="F78">
        <v>150000</v>
      </c>
      <c r="G78">
        <v>1800000</v>
      </c>
    </row>
    <row r="79" spans="1:7" x14ac:dyDescent="0.45">
      <c r="A79" t="s">
        <v>190</v>
      </c>
      <c r="B79" t="s">
        <v>191</v>
      </c>
      <c r="C79" t="str">
        <f t="shared" si="1"/>
        <v>October</v>
      </c>
      <c r="D79" s="6" t="s">
        <v>192</v>
      </c>
      <c r="E79">
        <v>92</v>
      </c>
      <c r="F79">
        <v>100000</v>
      </c>
      <c r="G79">
        <v>9200000</v>
      </c>
    </row>
    <row r="80" spans="1:7" x14ac:dyDescent="0.45">
      <c r="A80" t="s">
        <v>193</v>
      </c>
      <c r="B80" t="s">
        <v>111</v>
      </c>
      <c r="C80" t="str">
        <f t="shared" si="1"/>
        <v>August</v>
      </c>
      <c r="D80" s="6" t="s">
        <v>194</v>
      </c>
      <c r="E80">
        <v>63</v>
      </c>
      <c r="F80">
        <v>200000</v>
      </c>
      <c r="G80">
        <v>12600000</v>
      </c>
    </row>
    <row r="81" spans="1:7" x14ac:dyDescent="0.45">
      <c r="A81" t="s">
        <v>195</v>
      </c>
      <c r="B81" t="s">
        <v>139</v>
      </c>
      <c r="C81" t="str">
        <f t="shared" si="1"/>
        <v>March</v>
      </c>
      <c r="D81" s="6" t="s">
        <v>196</v>
      </c>
      <c r="E81">
        <v>42</v>
      </c>
      <c r="F81">
        <v>200000</v>
      </c>
      <c r="G81">
        <v>8400000</v>
      </c>
    </row>
    <row r="82" spans="1:7" x14ac:dyDescent="0.45">
      <c r="A82" t="s">
        <v>197</v>
      </c>
      <c r="B82" t="s">
        <v>95</v>
      </c>
      <c r="C82" t="str">
        <f t="shared" si="1"/>
        <v>August</v>
      </c>
      <c r="D82" s="6" t="s">
        <v>194</v>
      </c>
      <c r="E82">
        <v>38</v>
      </c>
      <c r="F82">
        <v>50000</v>
      </c>
      <c r="G82">
        <v>1900000</v>
      </c>
    </row>
    <row r="83" spans="1:7" x14ac:dyDescent="0.45">
      <c r="A83" t="s">
        <v>198</v>
      </c>
      <c r="B83" t="s">
        <v>27</v>
      </c>
      <c r="C83" t="str">
        <f t="shared" si="1"/>
        <v>August</v>
      </c>
      <c r="D83" s="6" t="s">
        <v>189</v>
      </c>
      <c r="E83">
        <v>81</v>
      </c>
      <c r="F83">
        <v>75000</v>
      </c>
      <c r="G83">
        <v>6075000</v>
      </c>
    </row>
    <row r="84" spans="1:7" x14ac:dyDescent="0.45">
      <c r="A84" t="s">
        <v>199</v>
      </c>
      <c r="B84" t="s">
        <v>45</v>
      </c>
      <c r="C84" t="str">
        <f t="shared" si="1"/>
        <v>March</v>
      </c>
      <c r="D84" s="6" t="s">
        <v>200</v>
      </c>
      <c r="E84">
        <v>57</v>
      </c>
      <c r="F84">
        <v>50000</v>
      </c>
      <c r="G84">
        <v>2850000</v>
      </c>
    </row>
    <row r="85" spans="1:7" x14ac:dyDescent="0.45">
      <c r="A85" t="s">
        <v>201</v>
      </c>
      <c r="B85" t="s">
        <v>134</v>
      </c>
      <c r="C85" t="str">
        <f t="shared" si="1"/>
        <v>January</v>
      </c>
      <c r="D85" s="6" t="s">
        <v>202</v>
      </c>
      <c r="E85">
        <v>20</v>
      </c>
      <c r="F85">
        <v>150000</v>
      </c>
      <c r="G85">
        <v>3000000</v>
      </c>
    </row>
    <row r="86" spans="1:7" x14ac:dyDescent="0.45">
      <c r="A86" t="s">
        <v>203</v>
      </c>
      <c r="B86" t="s">
        <v>83</v>
      </c>
      <c r="C86" t="str">
        <f t="shared" si="1"/>
        <v>November</v>
      </c>
      <c r="D86" s="6" t="s">
        <v>204</v>
      </c>
      <c r="E86">
        <v>53</v>
      </c>
      <c r="F86">
        <v>100000</v>
      </c>
      <c r="G86">
        <v>5300000</v>
      </c>
    </row>
    <row r="87" spans="1:7" x14ac:dyDescent="0.45">
      <c r="A87" t="s">
        <v>205</v>
      </c>
      <c r="B87" t="s">
        <v>24</v>
      </c>
      <c r="C87" t="str">
        <f t="shared" si="1"/>
        <v>January</v>
      </c>
      <c r="D87" s="6" t="s">
        <v>206</v>
      </c>
      <c r="E87">
        <v>34</v>
      </c>
      <c r="F87">
        <v>75000</v>
      </c>
      <c r="G87">
        <v>2550000</v>
      </c>
    </row>
    <row r="88" spans="1:7" x14ac:dyDescent="0.45">
      <c r="A88" t="s">
        <v>207</v>
      </c>
      <c r="B88" t="s">
        <v>172</v>
      </c>
      <c r="C88" t="str">
        <f t="shared" si="1"/>
        <v>January</v>
      </c>
      <c r="D88" s="6" t="s">
        <v>208</v>
      </c>
      <c r="E88">
        <v>21</v>
      </c>
      <c r="F88">
        <v>200000</v>
      </c>
      <c r="G88">
        <v>4200000</v>
      </c>
    </row>
    <row r="89" spans="1:7" x14ac:dyDescent="0.45">
      <c r="A89" t="s">
        <v>209</v>
      </c>
      <c r="B89" t="s">
        <v>21</v>
      </c>
      <c r="C89" t="str">
        <f t="shared" si="1"/>
        <v>March</v>
      </c>
      <c r="D89" s="6" t="s">
        <v>122</v>
      </c>
      <c r="E89">
        <v>56</v>
      </c>
      <c r="F89">
        <v>100000</v>
      </c>
      <c r="G89">
        <v>5600000</v>
      </c>
    </row>
    <row r="90" spans="1:7" x14ac:dyDescent="0.45">
      <c r="A90" t="s">
        <v>210</v>
      </c>
      <c r="B90" t="s">
        <v>21</v>
      </c>
      <c r="C90" t="str">
        <f t="shared" si="1"/>
        <v>March</v>
      </c>
      <c r="D90" s="6" t="s">
        <v>19</v>
      </c>
      <c r="E90">
        <v>83</v>
      </c>
      <c r="F90">
        <v>200000</v>
      </c>
      <c r="G90">
        <v>16600000</v>
      </c>
    </row>
    <row r="91" spans="1:7" x14ac:dyDescent="0.45">
      <c r="A91" t="s">
        <v>211</v>
      </c>
      <c r="B91" t="s">
        <v>61</v>
      </c>
      <c r="C91" t="str">
        <f t="shared" si="1"/>
        <v>December</v>
      </c>
      <c r="D91" s="6" t="s">
        <v>212</v>
      </c>
      <c r="E91">
        <v>54</v>
      </c>
      <c r="F91">
        <v>75000</v>
      </c>
      <c r="G91">
        <v>4050000</v>
      </c>
    </row>
    <row r="92" spans="1:7" x14ac:dyDescent="0.45">
      <c r="A92" t="s">
        <v>213</v>
      </c>
      <c r="B92" t="s">
        <v>178</v>
      </c>
      <c r="C92" t="str">
        <f t="shared" si="1"/>
        <v>September</v>
      </c>
      <c r="D92" s="6" t="s">
        <v>214</v>
      </c>
      <c r="E92">
        <v>13</v>
      </c>
      <c r="F92">
        <v>150000</v>
      </c>
      <c r="G92">
        <v>1950000</v>
      </c>
    </row>
    <row r="93" spans="1:7" x14ac:dyDescent="0.45">
      <c r="A93" t="s">
        <v>215</v>
      </c>
      <c r="B93" t="s">
        <v>64</v>
      </c>
      <c r="C93" t="str">
        <f t="shared" si="1"/>
        <v>July</v>
      </c>
      <c r="D93" s="6" t="s">
        <v>216</v>
      </c>
      <c r="E93">
        <v>55</v>
      </c>
      <c r="F93">
        <v>75000</v>
      </c>
      <c r="G93">
        <v>4125000</v>
      </c>
    </row>
    <row r="94" spans="1:7" x14ac:dyDescent="0.45">
      <c r="A94" t="s">
        <v>217</v>
      </c>
      <c r="B94" t="s">
        <v>152</v>
      </c>
      <c r="C94" t="str">
        <f t="shared" si="1"/>
        <v>June</v>
      </c>
      <c r="D94" s="6" t="s">
        <v>218</v>
      </c>
      <c r="E94">
        <v>16</v>
      </c>
      <c r="F94">
        <v>150000</v>
      </c>
      <c r="G94">
        <v>2400000</v>
      </c>
    </row>
    <row r="95" spans="1:7" x14ac:dyDescent="0.45">
      <c r="A95" t="s">
        <v>219</v>
      </c>
      <c r="B95" t="s">
        <v>78</v>
      </c>
      <c r="C95" t="str">
        <f t="shared" si="1"/>
        <v>February</v>
      </c>
      <c r="D95" s="6" t="s">
        <v>220</v>
      </c>
      <c r="E95">
        <v>94</v>
      </c>
      <c r="F95">
        <v>50000</v>
      </c>
      <c r="G95">
        <v>4700000</v>
      </c>
    </row>
    <row r="96" spans="1:7" x14ac:dyDescent="0.45">
      <c r="A96" t="s">
        <v>221</v>
      </c>
      <c r="B96" t="s">
        <v>10</v>
      </c>
      <c r="C96" t="str">
        <f t="shared" si="1"/>
        <v>October</v>
      </c>
      <c r="D96" s="6" t="s">
        <v>222</v>
      </c>
      <c r="E96">
        <v>18</v>
      </c>
      <c r="F96">
        <v>200000</v>
      </c>
      <c r="G96">
        <v>3600000</v>
      </c>
    </row>
    <row r="97" spans="1:7" x14ac:dyDescent="0.45">
      <c r="A97" t="s">
        <v>223</v>
      </c>
      <c r="B97" t="s">
        <v>106</v>
      </c>
      <c r="C97" t="str">
        <f t="shared" si="1"/>
        <v>May</v>
      </c>
      <c r="D97" s="6" t="s">
        <v>25</v>
      </c>
      <c r="E97">
        <v>84</v>
      </c>
      <c r="F97">
        <v>50000</v>
      </c>
      <c r="G97">
        <v>4200000</v>
      </c>
    </row>
    <row r="98" spans="1:7" x14ac:dyDescent="0.45">
      <c r="A98" t="s">
        <v>224</v>
      </c>
      <c r="B98" t="s">
        <v>225</v>
      </c>
      <c r="C98" t="str">
        <f t="shared" si="1"/>
        <v>September</v>
      </c>
      <c r="D98" s="6" t="s">
        <v>226</v>
      </c>
      <c r="E98">
        <v>10</v>
      </c>
      <c r="F98">
        <v>150000</v>
      </c>
      <c r="G98">
        <v>1500000</v>
      </c>
    </row>
    <row r="99" spans="1:7" x14ac:dyDescent="0.45">
      <c r="A99" t="s">
        <v>227</v>
      </c>
      <c r="B99" t="s">
        <v>152</v>
      </c>
      <c r="C99" t="str">
        <f t="shared" si="1"/>
        <v>January</v>
      </c>
      <c r="D99" s="6" t="s">
        <v>130</v>
      </c>
      <c r="E99">
        <v>60</v>
      </c>
      <c r="F99">
        <v>50000</v>
      </c>
      <c r="G99">
        <v>3000000</v>
      </c>
    </row>
    <row r="100" spans="1:7" x14ac:dyDescent="0.45">
      <c r="A100" t="s">
        <v>228</v>
      </c>
      <c r="B100" t="s">
        <v>229</v>
      </c>
      <c r="C100" t="str">
        <f t="shared" si="1"/>
        <v>March</v>
      </c>
      <c r="D100" s="6" t="s">
        <v>230</v>
      </c>
      <c r="E100">
        <v>77</v>
      </c>
      <c r="F100">
        <v>200000</v>
      </c>
      <c r="G100">
        <v>15400000</v>
      </c>
    </row>
    <row r="101" spans="1:7" x14ac:dyDescent="0.45">
      <c r="A101" t="s">
        <v>231</v>
      </c>
      <c r="B101" t="s">
        <v>78</v>
      </c>
      <c r="C101" t="str">
        <f t="shared" si="1"/>
        <v>November</v>
      </c>
      <c r="D101" s="6" t="s">
        <v>232</v>
      </c>
      <c r="E101">
        <v>61</v>
      </c>
      <c r="F101">
        <v>100000</v>
      </c>
      <c r="G101">
        <v>6100000</v>
      </c>
    </row>
    <row r="102" spans="1:7" x14ac:dyDescent="0.45">
      <c r="A102" t="s">
        <v>233</v>
      </c>
      <c r="B102" t="s">
        <v>55</v>
      </c>
      <c r="C102" t="str">
        <f t="shared" si="1"/>
        <v>November</v>
      </c>
      <c r="D102" s="6" t="s">
        <v>232</v>
      </c>
      <c r="E102">
        <v>79</v>
      </c>
      <c r="F102">
        <v>200000</v>
      </c>
      <c r="G102">
        <v>15800000</v>
      </c>
    </row>
    <row r="103" spans="1:7" x14ac:dyDescent="0.45">
      <c r="A103" t="s">
        <v>234</v>
      </c>
      <c r="B103" t="s">
        <v>21</v>
      </c>
      <c r="C103" t="str">
        <f t="shared" si="1"/>
        <v>October</v>
      </c>
      <c r="D103" s="6" t="s">
        <v>235</v>
      </c>
      <c r="E103">
        <v>56</v>
      </c>
      <c r="F103">
        <v>200000</v>
      </c>
      <c r="G103">
        <v>11200000</v>
      </c>
    </row>
    <row r="104" spans="1:7" x14ac:dyDescent="0.45">
      <c r="A104" t="s">
        <v>236</v>
      </c>
      <c r="B104" t="s">
        <v>95</v>
      </c>
      <c r="C104" t="str">
        <f t="shared" si="1"/>
        <v>February</v>
      </c>
      <c r="D104" s="6" t="s">
        <v>237</v>
      </c>
      <c r="E104">
        <v>24</v>
      </c>
      <c r="F104">
        <v>100000</v>
      </c>
      <c r="G104">
        <v>2400000</v>
      </c>
    </row>
    <row r="105" spans="1:7" x14ac:dyDescent="0.45">
      <c r="A105" t="s">
        <v>238</v>
      </c>
      <c r="B105" t="s">
        <v>139</v>
      </c>
      <c r="C105" t="str">
        <f t="shared" si="1"/>
        <v>December</v>
      </c>
      <c r="D105" s="6" t="s">
        <v>239</v>
      </c>
      <c r="E105">
        <v>30</v>
      </c>
      <c r="F105">
        <v>100000</v>
      </c>
      <c r="G105">
        <v>3000000</v>
      </c>
    </row>
    <row r="106" spans="1:7" x14ac:dyDescent="0.45">
      <c r="A106" t="s">
        <v>240</v>
      </c>
      <c r="B106" t="s">
        <v>191</v>
      </c>
      <c r="C106" t="str">
        <f t="shared" si="1"/>
        <v>January</v>
      </c>
      <c r="D106" s="6" t="s">
        <v>241</v>
      </c>
      <c r="E106">
        <v>70</v>
      </c>
      <c r="F106">
        <v>100000</v>
      </c>
      <c r="G106">
        <v>7000000</v>
      </c>
    </row>
    <row r="107" spans="1:7" x14ac:dyDescent="0.45">
      <c r="A107" t="s">
        <v>242</v>
      </c>
      <c r="B107" t="s">
        <v>178</v>
      </c>
      <c r="C107" t="str">
        <f t="shared" si="1"/>
        <v>November</v>
      </c>
      <c r="D107" s="6" t="s">
        <v>243</v>
      </c>
      <c r="E107">
        <v>88</v>
      </c>
      <c r="F107">
        <v>50000</v>
      </c>
      <c r="G107">
        <v>4400000</v>
      </c>
    </row>
    <row r="108" spans="1:7" x14ac:dyDescent="0.45">
      <c r="A108" t="s">
        <v>244</v>
      </c>
      <c r="B108" t="s">
        <v>30</v>
      </c>
      <c r="C108" t="str">
        <f t="shared" si="1"/>
        <v>November</v>
      </c>
      <c r="D108" s="6" t="s">
        <v>245</v>
      </c>
      <c r="E108">
        <v>48</v>
      </c>
      <c r="F108">
        <v>200000</v>
      </c>
      <c r="G108">
        <v>9600000</v>
      </c>
    </row>
    <row r="109" spans="1:7" x14ac:dyDescent="0.45">
      <c r="A109" t="s">
        <v>246</v>
      </c>
      <c r="B109" t="s">
        <v>36</v>
      </c>
      <c r="C109" t="str">
        <f t="shared" si="1"/>
        <v>August</v>
      </c>
      <c r="D109" s="6" t="s">
        <v>53</v>
      </c>
      <c r="E109">
        <v>51</v>
      </c>
      <c r="F109">
        <v>50000</v>
      </c>
      <c r="G109">
        <v>2550000</v>
      </c>
    </row>
    <row r="110" spans="1:7" x14ac:dyDescent="0.45">
      <c r="A110" t="s">
        <v>247</v>
      </c>
      <c r="B110" t="s">
        <v>21</v>
      </c>
      <c r="C110" t="str">
        <f t="shared" si="1"/>
        <v>August</v>
      </c>
      <c r="D110" s="6" t="s">
        <v>88</v>
      </c>
      <c r="E110">
        <v>58</v>
      </c>
      <c r="F110">
        <v>150000</v>
      </c>
      <c r="G110">
        <v>8700000</v>
      </c>
    </row>
    <row r="111" spans="1:7" x14ac:dyDescent="0.45">
      <c r="A111" t="s">
        <v>248</v>
      </c>
      <c r="B111" t="s">
        <v>27</v>
      </c>
      <c r="C111" t="str">
        <f t="shared" si="1"/>
        <v>April</v>
      </c>
      <c r="D111" s="6" t="s">
        <v>249</v>
      </c>
      <c r="E111">
        <v>36</v>
      </c>
      <c r="F111">
        <v>50000</v>
      </c>
      <c r="G111">
        <v>1800000</v>
      </c>
    </row>
    <row r="112" spans="1:7" x14ac:dyDescent="0.45">
      <c r="A112" t="s">
        <v>250</v>
      </c>
      <c r="B112" t="s">
        <v>106</v>
      </c>
      <c r="C112" t="str">
        <f t="shared" si="1"/>
        <v>January</v>
      </c>
      <c r="D112" s="6" t="s">
        <v>130</v>
      </c>
      <c r="E112">
        <v>96</v>
      </c>
      <c r="F112">
        <v>75000</v>
      </c>
      <c r="G112">
        <v>7200000</v>
      </c>
    </row>
    <row r="113" spans="1:7" x14ac:dyDescent="0.45">
      <c r="A113" t="s">
        <v>251</v>
      </c>
      <c r="B113" t="s">
        <v>13</v>
      </c>
      <c r="C113" t="str">
        <f t="shared" si="1"/>
        <v>September</v>
      </c>
      <c r="D113" s="6" t="s">
        <v>252</v>
      </c>
      <c r="E113">
        <v>52</v>
      </c>
      <c r="F113">
        <v>100000</v>
      </c>
      <c r="G113">
        <v>5200000</v>
      </c>
    </row>
    <row r="114" spans="1:7" x14ac:dyDescent="0.45">
      <c r="A114" t="s">
        <v>253</v>
      </c>
      <c r="B114" t="s">
        <v>106</v>
      </c>
      <c r="C114" t="str">
        <f t="shared" si="1"/>
        <v>June</v>
      </c>
      <c r="D114" s="6" t="s">
        <v>254</v>
      </c>
      <c r="E114">
        <v>35</v>
      </c>
      <c r="F114">
        <v>50000</v>
      </c>
      <c r="G114">
        <v>1750000</v>
      </c>
    </row>
    <row r="115" spans="1:7" x14ac:dyDescent="0.45">
      <c r="A115" t="s">
        <v>255</v>
      </c>
      <c r="B115" t="s">
        <v>186</v>
      </c>
      <c r="C115" t="str">
        <f t="shared" si="1"/>
        <v>February</v>
      </c>
      <c r="D115" s="6" t="s">
        <v>104</v>
      </c>
      <c r="E115">
        <v>56</v>
      </c>
      <c r="F115">
        <v>200000</v>
      </c>
      <c r="G115">
        <v>11200000</v>
      </c>
    </row>
    <row r="116" spans="1:7" x14ac:dyDescent="0.45">
      <c r="A116" t="s">
        <v>256</v>
      </c>
      <c r="B116" t="s">
        <v>55</v>
      </c>
      <c r="C116" t="str">
        <f t="shared" si="1"/>
        <v>November</v>
      </c>
      <c r="D116" s="6" t="s">
        <v>257</v>
      </c>
      <c r="E116">
        <v>95</v>
      </c>
      <c r="F116">
        <v>150000</v>
      </c>
      <c r="G116">
        <v>14250000</v>
      </c>
    </row>
    <row r="117" spans="1:7" x14ac:dyDescent="0.45">
      <c r="A117" t="s">
        <v>258</v>
      </c>
      <c r="B117" t="s">
        <v>48</v>
      </c>
      <c r="C117" t="str">
        <f t="shared" si="1"/>
        <v>July</v>
      </c>
      <c r="D117" s="6" t="s">
        <v>259</v>
      </c>
      <c r="E117">
        <v>87</v>
      </c>
      <c r="F117">
        <v>150000</v>
      </c>
      <c r="G117">
        <v>13050000</v>
      </c>
    </row>
    <row r="118" spans="1:7" x14ac:dyDescent="0.45">
      <c r="A118" t="s">
        <v>260</v>
      </c>
      <c r="B118" t="s">
        <v>48</v>
      </c>
      <c r="C118" t="str">
        <f t="shared" si="1"/>
        <v>October</v>
      </c>
      <c r="D118" s="6" t="s">
        <v>261</v>
      </c>
      <c r="E118">
        <v>69</v>
      </c>
      <c r="F118">
        <v>100000</v>
      </c>
      <c r="G118">
        <v>6900000</v>
      </c>
    </row>
    <row r="119" spans="1:7" x14ac:dyDescent="0.45">
      <c r="A119" t="s">
        <v>262</v>
      </c>
      <c r="B119" t="s">
        <v>33</v>
      </c>
      <c r="C119" t="str">
        <f t="shared" si="1"/>
        <v>July</v>
      </c>
      <c r="D119" s="6" t="s">
        <v>34</v>
      </c>
      <c r="E119">
        <v>79</v>
      </c>
      <c r="F119">
        <v>75000</v>
      </c>
      <c r="G119">
        <v>5925000</v>
      </c>
    </row>
    <row r="120" spans="1:7" x14ac:dyDescent="0.45">
      <c r="A120" t="s">
        <v>263</v>
      </c>
      <c r="B120" t="s">
        <v>55</v>
      </c>
      <c r="C120" t="str">
        <f t="shared" si="1"/>
        <v>March</v>
      </c>
      <c r="D120" s="6" t="s">
        <v>264</v>
      </c>
      <c r="E120">
        <v>86</v>
      </c>
      <c r="F120">
        <v>100000</v>
      </c>
      <c r="G120">
        <v>8600000</v>
      </c>
    </row>
    <row r="121" spans="1:7" x14ac:dyDescent="0.45">
      <c r="A121" t="s">
        <v>265</v>
      </c>
      <c r="B121" t="s">
        <v>111</v>
      </c>
      <c r="C121" t="str">
        <f t="shared" si="1"/>
        <v>June</v>
      </c>
      <c r="D121" s="6" t="s">
        <v>266</v>
      </c>
      <c r="E121">
        <v>88</v>
      </c>
      <c r="F121">
        <v>100000</v>
      </c>
      <c r="G121">
        <v>8800000</v>
      </c>
    </row>
    <row r="122" spans="1:7" x14ac:dyDescent="0.45">
      <c r="A122" t="s">
        <v>267</v>
      </c>
      <c r="B122" t="s">
        <v>78</v>
      </c>
      <c r="C122" t="str">
        <f t="shared" si="1"/>
        <v>March</v>
      </c>
      <c r="D122" s="6" t="s">
        <v>122</v>
      </c>
      <c r="E122">
        <v>22</v>
      </c>
      <c r="F122">
        <v>50000</v>
      </c>
      <c r="G122">
        <v>1100000</v>
      </c>
    </row>
    <row r="123" spans="1:7" x14ac:dyDescent="0.45">
      <c r="A123" t="s">
        <v>268</v>
      </c>
      <c r="B123" t="s">
        <v>106</v>
      </c>
      <c r="C123" t="str">
        <f t="shared" si="1"/>
        <v>July</v>
      </c>
      <c r="D123" s="6" t="s">
        <v>168</v>
      </c>
      <c r="E123">
        <v>69</v>
      </c>
      <c r="F123">
        <v>100000</v>
      </c>
      <c r="G123">
        <v>6900000</v>
      </c>
    </row>
    <row r="124" spans="1:7" x14ac:dyDescent="0.45">
      <c r="A124" t="s">
        <v>269</v>
      </c>
      <c r="B124" t="s">
        <v>33</v>
      </c>
      <c r="C124" t="str">
        <f t="shared" si="1"/>
        <v>July</v>
      </c>
      <c r="D124" s="6" t="s">
        <v>148</v>
      </c>
      <c r="E124">
        <v>42</v>
      </c>
      <c r="F124">
        <v>100000</v>
      </c>
      <c r="G124">
        <v>4200000</v>
      </c>
    </row>
    <row r="125" spans="1:7" x14ac:dyDescent="0.45">
      <c r="A125" t="s">
        <v>270</v>
      </c>
      <c r="B125" t="s">
        <v>229</v>
      </c>
      <c r="C125" t="str">
        <f t="shared" si="1"/>
        <v>December</v>
      </c>
      <c r="D125" s="6" t="s">
        <v>271</v>
      </c>
      <c r="E125">
        <v>63</v>
      </c>
      <c r="F125">
        <v>75000</v>
      </c>
      <c r="G125">
        <v>4725000</v>
      </c>
    </row>
    <row r="126" spans="1:7" x14ac:dyDescent="0.45">
      <c r="A126" t="s">
        <v>272</v>
      </c>
      <c r="B126" t="s">
        <v>92</v>
      </c>
      <c r="C126" t="str">
        <f t="shared" si="1"/>
        <v>August</v>
      </c>
      <c r="D126" s="6" t="s">
        <v>88</v>
      </c>
      <c r="E126">
        <v>64</v>
      </c>
      <c r="F126">
        <v>200000</v>
      </c>
      <c r="G126">
        <v>12800000</v>
      </c>
    </row>
    <row r="127" spans="1:7" x14ac:dyDescent="0.45">
      <c r="A127" t="s">
        <v>273</v>
      </c>
      <c r="B127" t="s">
        <v>61</v>
      </c>
      <c r="C127" t="str">
        <f t="shared" si="1"/>
        <v>August</v>
      </c>
      <c r="D127" s="6" t="s">
        <v>274</v>
      </c>
      <c r="E127">
        <v>16</v>
      </c>
      <c r="F127">
        <v>100000</v>
      </c>
      <c r="G127">
        <v>1600000</v>
      </c>
    </row>
    <row r="128" spans="1:7" x14ac:dyDescent="0.45">
      <c r="A128" t="s">
        <v>275</v>
      </c>
      <c r="B128" t="s">
        <v>64</v>
      </c>
      <c r="C128" t="str">
        <f t="shared" si="1"/>
        <v>June</v>
      </c>
      <c r="D128" s="6" t="s">
        <v>73</v>
      </c>
      <c r="E128">
        <v>32</v>
      </c>
      <c r="F128">
        <v>75000</v>
      </c>
      <c r="G128">
        <v>2400000</v>
      </c>
    </row>
    <row r="129" spans="1:7" x14ac:dyDescent="0.45">
      <c r="A129" t="s">
        <v>276</v>
      </c>
      <c r="B129" t="s">
        <v>225</v>
      </c>
      <c r="C129" t="str">
        <f t="shared" si="1"/>
        <v>March</v>
      </c>
      <c r="D129" s="6" t="s">
        <v>122</v>
      </c>
      <c r="E129">
        <v>24</v>
      </c>
      <c r="F129">
        <v>100000</v>
      </c>
      <c r="G129">
        <v>2400000</v>
      </c>
    </row>
    <row r="130" spans="1:7" x14ac:dyDescent="0.45">
      <c r="A130" t="s">
        <v>277</v>
      </c>
      <c r="B130" t="s">
        <v>225</v>
      </c>
      <c r="C130" t="str">
        <f t="shared" si="1"/>
        <v>August</v>
      </c>
      <c r="D130" s="6" t="s">
        <v>278</v>
      </c>
      <c r="E130">
        <v>20</v>
      </c>
      <c r="F130">
        <v>100000</v>
      </c>
      <c r="G130">
        <v>2000000</v>
      </c>
    </row>
    <row r="131" spans="1:7" x14ac:dyDescent="0.45">
      <c r="A131" t="s">
        <v>279</v>
      </c>
      <c r="B131" t="s">
        <v>58</v>
      </c>
      <c r="C131" t="str">
        <f t="shared" ref="C131:C194" si="2">TEXT(D131,"mmmm")</f>
        <v>July</v>
      </c>
      <c r="D131" s="6" t="s">
        <v>259</v>
      </c>
      <c r="E131">
        <v>10</v>
      </c>
      <c r="F131">
        <v>200000</v>
      </c>
      <c r="G131">
        <v>2000000</v>
      </c>
    </row>
    <row r="132" spans="1:7" x14ac:dyDescent="0.45">
      <c r="A132" t="s">
        <v>280</v>
      </c>
      <c r="B132" t="s">
        <v>155</v>
      </c>
      <c r="C132" t="str">
        <f t="shared" si="2"/>
        <v>June</v>
      </c>
      <c r="D132" s="6" t="s">
        <v>281</v>
      </c>
      <c r="E132">
        <v>50</v>
      </c>
      <c r="F132">
        <v>200000</v>
      </c>
      <c r="G132">
        <v>10000000</v>
      </c>
    </row>
    <row r="133" spans="1:7" x14ac:dyDescent="0.45">
      <c r="A133" t="s">
        <v>282</v>
      </c>
      <c r="B133" t="s">
        <v>78</v>
      </c>
      <c r="C133" t="str">
        <f t="shared" si="2"/>
        <v>March</v>
      </c>
      <c r="D133" s="6" t="s">
        <v>200</v>
      </c>
      <c r="E133">
        <v>9</v>
      </c>
      <c r="F133">
        <v>200000</v>
      </c>
      <c r="G133">
        <v>1800000</v>
      </c>
    </row>
    <row r="134" spans="1:7" x14ac:dyDescent="0.45">
      <c r="A134" t="s">
        <v>283</v>
      </c>
      <c r="B134" t="s">
        <v>7</v>
      </c>
      <c r="C134" t="str">
        <f t="shared" si="2"/>
        <v>August</v>
      </c>
      <c r="D134" s="6" t="s">
        <v>189</v>
      </c>
      <c r="E134">
        <v>74</v>
      </c>
      <c r="F134">
        <v>75000</v>
      </c>
      <c r="G134">
        <v>5550000</v>
      </c>
    </row>
    <row r="135" spans="1:7" x14ac:dyDescent="0.45">
      <c r="A135" t="s">
        <v>284</v>
      </c>
      <c r="B135" t="s">
        <v>83</v>
      </c>
      <c r="C135" t="str">
        <f t="shared" si="2"/>
        <v>November</v>
      </c>
      <c r="D135" s="6" t="s">
        <v>285</v>
      </c>
      <c r="E135">
        <v>61</v>
      </c>
      <c r="F135">
        <v>50000</v>
      </c>
      <c r="G135">
        <v>3050000</v>
      </c>
    </row>
    <row r="136" spans="1:7" x14ac:dyDescent="0.45">
      <c r="A136" t="s">
        <v>286</v>
      </c>
      <c r="B136" t="s">
        <v>139</v>
      </c>
      <c r="C136" t="str">
        <f t="shared" si="2"/>
        <v>July</v>
      </c>
      <c r="D136" s="6" t="s">
        <v>51</v>
      </c>
      <c r="E136">
        <v>41</v>
      </c>
      <c r="F136">
        <v>100000</v>
      </c>
      <c r="G136">
        <v>4100000</v>
      </c>
    </row>
    <row r="137" spans="1:7" x14ac:dyDescent="0.45">
      <c r="A137" t="s">
        <v>287</v>
      </c>
      <c r="B137" t="s">
        <v>61</v>
      </c>
      <c r="C137" t="str">
        <f t="shared" si="2"/>
        <v>June</v>
      </c>
      <c r="D137" s="6" t="s">
        <v>288</v>
      </c>
      <c r="E137">
        <v>19</v>
      </c>
      <c r="F137">
        <v>150000</v>
      </c>
      <c r="G137">
        <v>2850000</v>
      </c>
    </row>
    <row r="138" spans="1:7" x14ac:dyDescent="0.45">
      <c r="A138" t="s">
        <v>289</v>
      </c>
      <c r="B138" t="s">
        <v>64</v>
      </c>
      <c r="C138" t="str">
        <f t="shared" si="2"/>
        <v>November</v>
      </c>
      <c r="D138" s="6" t="s">
        <v>243</v>
      </c>
      <c r="E138">
        <v>79</v>
      </c>
      <c r="F138">
        <v>100000</v>
      </c>
      <c r="G138">
        <v>7900000</v>
      </c>
    </row>
    <row r="139" spans="1:7" x14ac:dyDescent="0.45">
      <c r="A139" t="s">
        <v>290</v>
      </c>
      <c r="B139" t="s">
        <v>229</v>
      </c>
      <c r="C139" t="str">
        <f t="shared" si="2"/>
        <v>August</v>
      </c>
      <c r="D139" s="6" t="s">
        <v>291</v>
      </c>
      <c r="E139">
        <v>43</v>
      </c>
      <c r="F139">
        <v>75000</v>
      </c>
      <c r="G139">
        <v>3225000</v>
      </c>
    </row>
    <row r="140" spans="1:7" x14ac:dyDescent="0.45">
      <c r="A140" t="s">
        <v>292</v>
      </c>
      <c r="B140" t="s">
        <v>10</v>
      </c>
      <c r="C140" t="str">
        <f t="shared" si="2"/>
        <v>May</v>
      </c>
      <c r="D140" s="6" t="s">
        <v>293</v>
      </c>
      <c r="E140">
        <v>20</v>
      </c>
      <c r="F140">
        <v>200000</v>
      </c>
      <c r="G140">
        <v>4000000</v>
      </c>
    </row>
    <row r="141" spans="1:7" x14ac:dyDescent="0.45">
      <c r="A141" t="s">
        <v>294</v>
      </c>
      <c r="B141" t="s">
        <v>155</v>
      </c>
      <c r="C141" t="str">
        <f t="shared" si="2"/>
        <v>February</v>
      </c>
      <c r="D141" s="6" t="s">
        <v>295</v>
      </c>
      <c r="E141">
        <v>97</v>
      </c>
      <c r="F141">
        <v>100000</v>
      </c>
      <c r="G141">
        <v>9700000</v>
      </c>
    </row>
    <row r="142" spans="1:7" x14ac:dyDescent="0.45">
      <c r="A142" t="s">
        <v>296</v>
      </c>
      <c r="B142" t="s">
        <v>139</v>
      </c>
      <c r="C142" t="str">
        <f t="shared" si="2"/>
        <v>October</v>
      </c>
      <c r="D142" s="6" t="s">
        <v>222</v>
      </c>
      <c r="E142">
        <v>82</v>
      </c>
      <c r="F142">
        <v>200000</v>
      </c>
      <c r="G142">
        <v>16400000</v>
      </c>
    </row>
    <row r="143" spans="1:7" x14ac:dyDescent="0.45">
      <c r="A143" t="s">
        <v>297</v>
      </c>
      <c r="B143" t="s">
        <v>225</v>
      </c>
      <c r="C143" t="str">
        <f t="shared" si="2"/>
        <v>September</v>
      </c>
      <c r="D143" s="6" t="s">
        <v>298</v>
      </c>
      <c r="E143">
        <v>82</v>
      </c>
      <c r="F143">
        <v>75000</v>
      </c>
      <c r="G143">
        <v>6150000</v>
      </c>
    </row>
    <row r="144" spans="1:7" x14ac:dyDescent="0.45">
      <c r="A144" t="s">
        <v>299</v>
      </c>
      <c r="B144" t="s">
        <v>300</v>
      </c>
      <c r="C144" t="str">
        <f t="shared" si="2"/>
        <v>August</v>
      </c>
      <c r="D144" s="6" t="s">
        <v>301</v>
      </c>
      <c r="E144">
        <v>51</v>
      </c>
      <c r="F144">
        <v>100000</v>
      </c>
      <c r="G144">
        <v>5100000</v>
      </c>
    </row>
    <row r="145" spans="1:7" x14ac:dyDescent="0.45">
      <c r="A145" t="s">
        <v>302</v>
      </c>
      <c r="B145" t="s">
        <v>24</v>
      </c>
      <c r="C145" t="str">
        <f t="shared" si="2"/>
        <v>July</v>
      </c>
      <c r="D145" s="6" t="s">
        <v>40</v>
      </c>
      <c r="E145">
        <v>79</v>
      </c>
      <c r="F145">
        <v>200000</v>
      </c>
      <c r="G145">
        <v>15800000</v>
      </c>
    </row>
    <row r="146" spans="1:7" x14ac:dyDescent="0.45">
      <c r="A146" t="s">
        <v>303</v>
      </c>
      <c r="B146" t="s">
        <v>27</v>
      </c>
      <c r="C146" t="str">
        <f t="shared" si="2"/>
        <v>May</v>
      </c>
      <c r="D146" s="6" t="s">
        <v>25</v>
      </c>
      <c r="E146">
        <v>57</v>
      </c>
      <c r="F146">
        <v>150000</v>
      </c>
      <c r="G146">
        <v>8550000</v>
      </c>
    </row>
    <row r="147" spans="1:7" x14ac:dyDescent="0.45">
      <c r="A147" t="s">
        <v>304</v>
      </c>
      <c r="B147" t="s">
        <v>48</v>
      </c>
      <c r="C147" t="str">
        <f t="shared" si="2"/>
        <v>July</v>
      </c>
      <c r="D147" s="6" t="s">
        <v>40</v>
      </c>
      <c r="E147">
        <v>78</v>
      </c>
      <c r="F147">
        <v>100000</v>
      </c>
      <c r="G147">
        <v>7800000</v>
      </c>
    </row>
    <row r="148" spans="1:7" x14ac:dyDescent="0.45">
      <c r="A148" t="s">
        <v>305</v>
      </c>
      <c r="B148" t="s">
        <v>306</v>
      </c>
      <c r="C148" t="str">
        <f t="shared" si="2"/>
        <v>January</v>
      </c>
      <c r="D148" s="6" t="s">
        <v>307</v>
      </c>
      <c r="E148">
        <v>96</v>
      </c>
      <c r="F148">
        <v>150000</v>
      </c>
      <c r="G148">
        <v>14400000</v>
      </c>
    </row>
    <row r="149" spans="1:7" x14ac:dyDescent="0.45">
      <c r="A149" t="s">
        <v>308</v>
      </c>
      <c r="B149" t="s">
        <v>24</v>
      </c>
      <c r="C149" t="str">
        <f t="shared" si="2"/>
        <v>March</v>
      </c>
      <c r="D149" s="6" t="s">
        <v>309</v>
      </c>
      <c r="E149">
        <v>52</v>
      </c>
      <c r="F149">
        <v>50000</v>
      </c>
      <c r="G149">
        <v>2600000</v>
      </c>
    </row>
    <row r="150" spans="1:7" x14ac:dyDescent="0.45">
      <c r="A150" t="s">
        <v>310</v>
      </c>
      <c r="B150" t="s">
        <v>21</v>
      </c>
      <c r="C150" t="str">
        <f t="shared" si="2"/>
        <v>March</v>
      </c>
      <c r="D150" s="6" t="s">
        <v>43</v>
      </c>
      <c r="E150">
        <v>34</v>
      </c>
      <c r="F150">
        <v>75000</v>
      </c>
      <c r="G150">
        <v>2550000</v>
      </c>
    </row>
    <row r="151" spans="1:7" x14ac:dyDescent="0.45">
      <c r="A151" t="s">
        <v>311</v>
      </c>
      <c r="B151" t="s">
        <v>58</v>
      </c>
      <c r="C151" t="str">
        <f t="shared" si="2"/>
        <v>June</v>
      </c>
      <c r="D151" s="6" t="s">
        <v>312</v>
      </c>
      <c r="E151">
        <v>83</v>
      </c>
      <c r="F151">
        <v>100000</v>
      </c>
      <c r="G151">
        <v>8300000</v>
      </c>
    </row>
    <row r="152" spans="1:7" x14ac:dyDescent="0.45">
      <c r="A152" t="s">
        <v>313</v>
      </c>
      <c r="B152" t="s">
        <v>155</v>
      </c>
      <c r="C152" t="str">
        <f t="shared" si="2"/>
        <v>October</v>
      </c>
      <c r="D152" s="6" t="s">
        <v>314</v>
      </c>
      <c r="E152">
        <v>85</v>
      </c>
      <c r="F152">
        <v>50000</v>
      </c>
      <c r="G152">
        <v>4250000</v>
      </c>
    </row>
    <row r="153" spans="1:7" x14ac:dyDescent="0.45">
      <c r="A153" t="s">
        <v>315</v>
      </c>
      <c r="B153" t="s">
        <v>24</v>
      </c>
      <c r="C153" t="str">
        <f t="shared" si="2"/>
        <v>September</v>
      </c>
      <c r="D153" s="6" t="s">
        <v>160</v>
      </c>
      <c r="E153">
        <v>32</v>
      </c>
      <c r="F153">
        <v>100000</v>
      </c>
      <c r="G153">
        <v>3200000</v>
      </c>
    </row>
    <row r="154" spans="1:7" x14ac:dyDescent="0.45">
      <c r="A154" t="s">
        <v>316</v>
      </c>
      <c r="B154" t="s">
        <v>111</v>
      </c>
      <c r="C154" t="str">
        <f t="shared" si="2"/>
        <v>November</v>
      </c>
      <c r="D154" s="6" t="s">
        <v>317</v>
      </c>
      <c r="E154">
        <v>18</v>
      </c>
      <c r="F154">
        <v>150000</v>
      </c>
      <c r="G154">
        <v>2700000</v>
      </c>
    </row>
    <row r="155" spans="1:7" x14ac:dyDescent="0.45">
      <c r="A155" t="s">
        <v>318</v>
      </c>
      <c r="B155" t="s">
        <v>45</v>
      </c>
      <c r="C155" t="str">
        <f t="shared" si="2"/>
        <v>March</v>
      </c>
      <c r="D155" s="6" t="s">
        <v>19</v>
      </c>
      <c r="E155">
        <v>53</v>
      </c>
      <c r="F155">
        <v>100000</v>
      </c>
      <c r="G155">
        <v>5300000</v>
      </c>
    </row>
    <row r="156" spans="1:7" x14ac:dyDescent="0.45">
      <c r="A156" t="s">
        <v>319</v>
      </c>
      <c r="B156" t="s">
        <v>64</v>
      </c>
      <c r="C156" t="str">
        <f t="shared" si="2"/>
        <v>November</v>
      </c>
      <c r="D156" s="6" t="s">
        <v>320</v>
      </c>
      <c r="E156">
        <v>55</v>
      </c>
      <c r="F156">
        <v>100000</v>
      </c>
      <c r="G156">
        <v>5500000</v>
      </c>
    </row>
    <row r="157" spans="1:7" x14ac:dyDescent="0.45">
      <c r="A157" t="s">
        <v>321</v>
      </c>
      <c r="B157" t="s">
        <v>106</v>
      </c>
      <c r="C157" t="str">
        <f t="shared" si="2"/>
        <v>October</v>
      </c>
      <c r="D157" s="6" t="s">
        <v>322</v>
      </c>
      <c r="E157">
        <v>82</v>
      </c>
      <c r="F157">
        <v>50000</v>
      </c>
      <c r="G157">
        <v>4100000</v>
      </c>
    </row>
    <row r="158" spans="1:7" x14ac:dyDescent="0.45">
      <c r="A158" t="s">
        <v>323</v>
      </c>
      <c r="B158" t="s">
        <v>64</v>
      </c>
      <c r="C158" t="str">
        <f t="shared" si="2"/>
        <v>January</v>
      </c>
      <c r="D158" s="6" t="s">
        <v>130</v>
      </c>
      <c r="E158">
        <v>87</v>
      </c>
      <c r="F158">
        <v>100000</v>
      </c>
      <c r="G158">
        <v>8700000</v>
      </c>
    </row>
    <row r="159" spans="1:7" x14ac:dyDescent="0.45">
      <c r="A159" t="s">
        <v>324</v>
      </c>
      <c r="B159" t="s">
        <v>39</v>
      </c>
      <c r="C159" t="str">
        <f t="shared" si="2"/>
        <v>December</v>
      </c>
      <c r="D159" s="6" t="s">
        <v>325</v>
      </c>
      <c r="E159">
        <v>92</v>
      </c>
      <c r="F159">
        <v>150000</v>
      </c>
      <c r="G159">
        <v>13800000</v>
      </c>
    </row>
    <row r="160" spans="1:7" x14ac:dyDescent="0.45">
      <c r="A160" t="s">
        <v>326</v>
      </c>
      <c r="B160" t="s">
        <v>155</v>
      </c>
      <c r="C160" t="str">
        <f t="shared" si="2"/>
        <v>October</v>
      </c>
      <c r="D160" s="6" t="s">
        <v>327</v>
      </c>
      <c r="E160">
        <v>17</v>
      </c>
      <c r="F160">
        <v>100000</v>
      </c>
      <c r="G160">
        <v>1700000</v>
      </c>
    </row>
    <row r="161" spans="1:7" x14ac:dyDescent="0.45">
      <c r="A161" t="s">
        <v>328</v>
      </c>
      <c r="B161" t="s">
        <v>95</v>
      </c>
      <c r="C161" t="str">
        <f t="shared" si="2"/>
        <v>February</v>
      </c>
      <c r="D161" s="6" t="s">
        <v>329</v>
      </c>
      <c r="E161">
        <v>21</v>
      </c>
      <c r="F161">
        <v>100000</v>
      </c>
      <c r="G161">
        <v>2100000</v>
      </c>
    </row>
    <row r="162" spans="1:7" x14ac:dyDescent="0.45">
      <c r="A162" t="s">
        <v>330</v>
      </c>
      <c r="B162" t="s">
        <v>152</v>
      </c>
      <c r="C162" t="str">
        <f t="shared" si="2"/>
        <v>May</v>
      </c>
      <c r="D162" s="6" t="s">
        <v>331</v>
      </c>
      <c r="E162">
        <v>42</v>
      </c>
      <c r="F162">
        <v>200000</v>
      </c>
      <c r="G162">
        <v>8400000</v>
      </c>
    </row>
    <row r="163" spans="1:7" x14ac:dyDescent="0.45">
      <c r="A163" t="s">
        <v>332</v>
      </c>
      <c r="B163" t="s">
        <v>155</v>
      </c>
      <c r="C163" t="str">
        <f t="shared" si="2"/>
        <v>April</v>
      </c>
      <c r="D163" s="6" t="s">
        <v>333</v>
      </c>
      <c r="E163">
        <v>8</v>
      </c>
      <c r="F163">
        <v>100000</v>
      </c>
      <c r="G163">
        <v>800000</v>
      </c>
    </row>
    <row r="164" spans="1:7" x14ac:dyDescent="0.45">
      <c r="A164" t="s">
        <v>334</v>
      </c>
      <c r="B164" t="s">
        <v>24</v>
      </c>
      <c r="C164" t="str">
        <f t="shared" si="2"/>
        <v>December</v>
      </c>
      <c r="D164" s="6" t="s">
        <v>335</v>
      </c>
      <c r="E164">
        <v>97</v>
      </c>
      <c r="F164">
        <v>150000</v>
      </c>
      <c r="G164">
        <v>14550000</v>
      </c>
    </row>
    <row r="165" spans="1:7" x14ac:dyDescent="0.45">
      <c r="A165" t="s">
        <v>336</v>
      </c>
      <c r="B165" t="s">
        <v>48</v>
      </c>
      <c r="C165" t="str">
        <f t="shared" si="2"/>
        <v>September</v>
      </c>
      <c r="D165" s="6" t="s">
        <v>337</v>
      </c>
      <c r="E165">
        <v>67</v>
      </c>
      <c r="F165">
        <v>200000</v>
      </c>
      <c r="G165">
        <v>13400000</v>
      </c>
    </row>
    <row r="166" spans="1:7" x14ac:dyDescent="0.45">
      <c r="A166" t="s">
        <v>338</v>
      </c>
      <c r="B166" t="s">
        <v>92</v>
      </c>
      <c r="C166" t="str">
        <f t="shared" si="2"/>
        <v>March</v>
      </c>
      <c r="D166" s="6" t="s">
        <v>43</v>
      </c>
      <c r="E166">
        <v>82</v>
      </c>
      <c r="F166">
        <v>50000</v>
      </c>
      <c r="G166">
        <v>4100000</v>
      </c>
    </row>
    <row r="167" spans="1:7" x14ac:dyDescent="0.45">
      <c r="A167" t="s">
        <v>339</v>
      </c>
      <c r="B167" t="s">
        <v>78</v>
      </c>
      <c r="C167" t="str">
        <f t="shared" si="2"/>
        <v>November</v>
      </c>
      <c r="D167" s="6" t="s">
        <v>204</v>
      </c>
      <c r="E167">
        <v>44</v>
      </c>
      <c r="F167">
        <v>200000</v>
      </c>
      <c r="G167">
        <v>8800000</v>
      </c>
    </row>
    <row r="168" spans="1:7" x14ac:dyDescent="0.45">
      <c r="A168" t="s">
        <v>340</v>
      </c>
      <c r="B168" t="s">
        <v>229</v>
      </c>
      <c r="C168" t="str">
        <f t="shared" si="2"/>
        <v>November</v>
      </c>
      <c r="D168" s="6" t="s">
        <v>285</v>
      </c>
      <c r="E168">
        <v>9</v>
      </c>
      <c r="F168">
        <v>150000</v>
      </c>
      <c r="G168">
        <v>1350000</v>
      </c>
    </row>
    <row r="169" spans="1:7" x14ac:dyDescent="0.45">
      <c r="A169" t="s">
        <v>341</v>
      </c>
      <c r="B169" t="s">
        <v>134</v>
      </c>
      <c r="C169" t="str">
        <f t="shared" si="2"/>
        <v>August</v>
      </c>
      <c r="D169" s="6" t="s">
        <v>88</v>
      </c>
      <c r="E169">
        <v>77</v>
      </c>
      <c r="F169">
        <v>75000</v>
      </c>
      <c r="G169">
        <v>5775000</v>
      </c>
    </row>
    <row r="170" spans="1:7" x14ac:dyDescent="0.45">
      <c r="A170" t="s">
        <v>342</v>
      </c>
      <c r="B170" t="s">
        <v>27</v>
      </c>
      <c r="C170" t="str">
        <f t="shared" si="2"/>
        <v>September</v>
      </c>
      <c r="D170" s="6" t="s">
        <v>343</v>
      </c>
      <c r="E170">
        <v>35</v>
      </c>
      <c r="F170">
        <v>50000</v>
      </c>
      <c r="G170">
        <v>1750000</v>
      </c>
    </row>
    <row r="171" spans="1:7" x14ac:dyDescent="0.45">
      <c r="A171" t="s">
        <v>344</v>
      </c>
      <c r="B171" t="s">
        <v>21</v>
      </c>
      <c r="C171" t="str">
        <f t="shared" si="2"/>
        <v>January</v>
      </c>
      <c r="D171" s="6" t="s">
        <v>345</v>
      </c>
      <c r="E171">
        <v>6</v>
      </c>
      <c r="F171">
        <v>50000</v>
      </c>
      <c r="G171">
        <v>300000</v>
      </c>
    </row>
    <row r="172" spans="1:7" x14ac:dyDescent="0.45">
      <c r="A172" t="s">
        <v>346</v>
      </c>
      <c r="B172" t="s">
        <v>83</v>
      </c>
      <c r="C172" t="str">
        <f t="shared" si="2"/>
        <v>June</v>
      </c>
      <c r="D172" s="6" t="s">
        <v>46</v>
      </c>
      <c r="E172">
        <v>21</v>
      </c>
      <c r="F172">
        <v>50000</v>
      </c>
      <c r="G172">
        <v>1050000</v>
      </c>
    </row>
    <row r="173" spans="1:7" x14ac:dyDescent="0.45">
      <c r="A173" t="s">
        <v>347</v>
      </c>
      <c r="B173" t="s">
        <v>300</v>
      </c>
      <c r="C173" t="str">
        <f t="shared" si="2"/>
        <v>March</v>
      </c>
      <c r="D173" s="6" t="s">
        <v>348</v>
      </c>
      <c r="E173">
        <v>13</v>
      </c>
      <c r="F173">
        <v>150000</v>
      </c>
      <c r="G173">
        <v>1950000</v>
      </c>
    </row>
    <row r="174" spans="1:7" x14ac:dyDescent="0.45">
      <c r="A174" t="s">
        <v>349</v>
      </c>
      <c r="B174" t="s">
        <v>75</v>
      </c>
      <c r="C174" t="str">
        <f t="shared" si="2"/>
        <v>July</v>
      </c>
      <c r="D174" s="6" t="s">
        <v>34</v>
      </c>
      <c r="E174">
        <v>12</v>
      </c>
      <c r="F174">
        <v>50000</v>
      </c>
      <c r="G174">
        <v>600000</v>
      </c>
    </row>
    <row r="175" spans="1:7" x14ac:dyDescent="0.45">
      <c r="A175" t="s">
        <v>350</v>
      </c>
      <c r="B175" t="s">
        <v>178</v>
      </c>
      <c r="C175" t="str">
        <f t="shared" si="2"/>
        <v>August</v>
      </c>
      <c r="D175" s="6" t="s">
        <v>120</v>
      </c>
      <c r="E175">
        <v>7</v>
      </c>
      <c r="F175">
        <v>50000</v>
      </c>
      <c r="G175">
        <v>350000</v>
      </c>
    </row>
    <row r="176" spans="1:7" x14ac:dyDescent="0.45">
      <c r="A176" t="s">
        <v>351</v>
      </c>
      <c r="B176" t="s">
        <v>39</v>
      </c>
      <c r="C176" t="str">
        <f t="shared" si="2"/>
        <v>October</v>
      </c>
      <c r="D176" s="6" t="s">
        <v>352</v>
      </c>
      <c r="E176">
        <v>80</v>
      </c>
      <c r="F176">
        <v>150000</v>
      </c>
      <c r="G176">
        <v>12000000</v>
      </c>
    </row>
    <row r="177" spans="1:7" x14ac:dyDescent="0.45">
      <c r="A177" t="s">
        <v>353</v>
      </c>
      <c r="B177" t="s">
        <v>172</v>
      </c>
      <c r="C177" t="str">
        <f t="shared" si="2"/>
        <v>November</v>
      </c>
      <c r="D177" s="6" t="s">
        <v>354</v>
      </c>
      <c r="E177">
        <v>12</v>
      </c>
      <c r="F177">
        <v>100000</v>
      </c>
      <c r="G177">
        <v>1200000</v>
      </c>
    </row>
    <row r="178" spans="1:7" x14ac:dyDescent="0.45">
      <c r="A178" t="s">
        <v>355</v>
      </c>
      <c r="B178" t="s">
        <v>64</v>
      </c>
      <c r="C178" t="str">
        <f t="shared" si="2"/>
        <v>August</v>
      </c>
      <c r="D178" s="6" t="s">
        <v>88</v>
      </c>
      <c r="E178">
        <v>50</v>
      </c>
      <c r="F178">
        <v>200000</v>
      </c>
      <c r="G178">
        <v>10000000</v>
      </c>
    </row>
    <row r="179" spans="1:7" x14ac:dyDescent="0.45">
      <c r="A179" t="s">
        <v>356</v>
      </c>
      <c r="B179" t="s">
        <v>39</v>
      </c>
      <c r="C179" t="str">
        <f t="shared" si="2"/>
        <v>September</v>
      </c>
      <c r="D179" s="6" t="s">
        <v>357</v>
      </c>
      <c r="E179">
        <v>77</v>
      </c>
      <c r="F179">
        <v>200000</v>
      </c>
      <c r="G179">
        <v>15400000</v>
      </c>
    </row>
    <row r="180" spans="1:7" x14ac:dyDescent="0.45">
      <c r="A180" t="s">
        <v>358</v>
      </c>
      <c r="B180" t="s">
        <v>359</v>
      </c>
      <c r="C180" t="str">
        <f t="shared" si="2"/>
        <v>August</v>
      </c>
      <c r="D180" s="6" t="s">
        <v>360</v>
      </c>
      <c r="E180">
        <v>45</v>
      </c>
      <c r="F180">
        <v>100000</v>
      </c>
      <c r="G180">
        <v>4500000</v>
      </c>
    </row>
    <row r="181" spans="1:7" x14ac:dyDescent="0.45">
      <c r="A181" t="s">
        <v>361</v>
      </c>
      <c r="B181" t="s">
        <v>119</v>
      </c>
      <c r="C181" t="str">
        <f t="shared" si="2"/>
        <v>May</v>
      </c>
      <c r="D181" s="6" t="s">
        <v>126</v>
      </c>
      <c r="E181">
        <v>85</v>
      </c>
      <c r="F181">
        <v>100000</v>
      </c>
      <c r="G181">
        <v>8500000</v>
      </c>
    </row>
    <row r="182" spans="1:7" x14ac:dyDescent="0.45">
      <c r="A182" t="s">
        <v>362</v>
      </c>
      <c r="B182" t="s">
        <v>306</v>
      </c>
      <c r="C182" t="str">
        <f t="shared" si="2"/>
        <v>April</v>
      </c>
      <c r="D182" s="6" t="s">
        <v>249</v>
      </c>
      <c r="E182">
        <v>32</v>
      </c>
      <c r="F182">
        <v>75000</v>
      </c>
      <c r="G182">
        <v>2400000</v>
      </c>
    </row>
    <row r="183" spans="1:7" x14ac:dyDescent="0.45">
      <c r="A183" t="s">
        <v>363</v>
      </c>
      <c r="B183" t="s">
        <v>306</v>
      </c>
      <c r="C183" t="str">
        <f t="shared" si="2"/>
        <v>June</v>
      </c>
      <c r="D183" s="6" t="s">
        <v>281</v>
      </c>
      <c r="E183">
        <v>19</v>
      </c>
      <c r="F183">
        <v>75000</v>
      </c>
      <c r="G183">
        <v>1425000</v>
      </c>
    </row>
    <row r="184" spans="1:7" x14ac:dyDescent="0.45">
      <c r="A184" t="s">
        <v>364</v>
      </c>
      <c r="B184" t="s">
        <v>58</v>
      </c>
      <c r="C184" t="str">
        <f t="shared" si="2"/>
        <v>January</v>
      </c>
      <c r="D184" s="6" t="s">
        <v>365</v>
      </c>
      <c r="E184">
        <v>94</v>
      </c>
      <c r="F184">
        <v>200000</v>
      </c>
      <c r="G184">
        <v>18800000</v>
      </c>
    </row>
    <row r="185" spans="1:7" x14ac:dyDescent="0.45">
      <c r="A185" t="s">
        <v>366</v>
      </c>
      <c r="B185" t="s">
        <v>191</v>
      </c>
      <c r="C185" t="str">
        <f t="shared" si="2"/>
        <v>May</v>
      </c>
      <c r="D185" s="6" t="s">
        <v>367</v>
      </c>
      <c r="E185">
        <v>63</v>
      </c>
      <c r="F185">
        <v>50000</v>
      </c>
      <c r="G185">
        <v>3150000</v>
      </c>
    </row>
    <row r="186" spans="1:7" x14ac:dyDescent="0.45">
      <c r="A186" t="s">
        <v>368</v>
      </c>
      <c r="B186" t="s">
        <v>16</v>
      </c>
      <c r="C186" t="str">
        <f t="shared" si="2"/>
        <v>April</v>
      </c>
      <c r="D186" s="6" t="s">
        <v>249</v>
      </c>
      <c r="E186">
        <v>96</v>
      </c>
      <c r="F186">
        <v>100000</v>
      </c>
      <c r="G186">
        <v>9600000</v>
      </c>
    </row>
    <row r="187" spans="1:7" x14ac:dyDescent="0.45">
      <c r="A187" t="s">
        <v>369</v>
      </c>
      <c r="B187" t="s">
        <v>58</v>
      </c>
      <c r="C187" t="str">
        <f t="shared" si="2"/>
        <v>October</v>
      </c>
      <c r="D187" s="6" t="s">
        <v>222</v>
      </c>
      <c r="E187">
        <v>91</v>
      </c>
      <c r="F187">
        <v>75000</v>
      </c>
      <c r="G187">
        <v>6825000</v>
      </c>
    </row>
    <row r="188" spans="1:7" x14ac:dyDescent="0.45">
      <c r="A188" t="s">
        <v>370</v>
      </c>
      <c r="B188" t="s">
        <v>27</v>
      </c>
      <c r="C188" t="str">
        <f t="shared" si="2"/>
        <v>May</v>
      </c>
      <c r="D188" s="6" t="s">
        <v>371</v>
      </c>
      <c r="E188">
        <v>13</v>
      </c>
      <c r="F188">
        <v>75000</v>
      </c>
      <c r="G188">
        <v>975000</v>
      </c>
    </row>
    <row r="189" spans="1:7" x14ac:dyDescent="0.45">
      <c r="A189" t="s">
        <v>372</v>
      </c>
      <c r="B189" t="s">
        <v>172</v>
      </c>
      <c r="C189" t="str">
        <f t="shared" si="2"/>
        <v>November</v>
      </c>
      <c r="D189" s="6" t="s">
        <v>373</v>
      </c>
      <c r="E189">
        <v>29</v>
      </c>
      <c r="F189">
        <v>50000</v>
      </c>
      <c r="G189">
        <v>1450000</v>
      </c>
    </row>
    <row r="190" spans="1:7" x14ac:dyDescent="0.45">
      <c r="A190" t="s">
        <v>374</v>
      </c>
      <c r="B190" t="s">
        <v>7</v>
      </c>
      <c r="C190" t="str">
        <f t="shared" si="2"/>
        <v>July</v>
      </c>
      <c r="D190" s="6" t="s">
        <v>259</v>
      </c>
      <c r="E190">
        <v>39</v>
      </c>
      <c r="F190">
        <v>200000</v>
      </c>
      <c r="G190">
        <v>7800000</v>
      </c>
    </row>
    <row r="191" spans="1:7" x14ac:dyDescent="0.45">
      <c r="A191" t="s">
        <v>375</v>
      </c>
      <c r="B191" t="s">
        <v>48</v>
      </c>
      <c r="C191" t="str">
        <f t="shared" si="2"/>
        <v>May</v>
      </c>
      <c r="D191" s="6" t="s">
        <v>376</v>
      </c>
      <c r="E191">
        <v>86</v>
      </c>
      <c r="F191">
        <v>200000</v>
      </c>
      <c r="G191">
        <v>17200000</v>
      </c>
    </row>
    <row r="192" spans="1:7" x14ac:dyDescent="0.45">
      <c r="A192" t="s">
        <v>377</v>
      </c>
      <c r="B192" t="s">
        <v>191</v>
      </c>
      <c r="C192" t="str">
        <f t="shared" si="2"/>
        <v>January</v>
      </c>
      <c r="D192" s="6" t="s">
        <v>378</v>
      </c>
      <c r="E192">
        <v>19</v>
      </c>
      <c r="F192">
        <v>75000</v>
      </c>
      <c r="G192">
        <v>1425000</v>
      </c>
    </row>
    <row r="193" spans="1:7" x14ac:dyDescent="0.45">
      <c r="A193" t="s">
        <v>379</v>
      </c>
      <c r="B193" t="s">
        <v>13</v>
      </c>
      <c r="C193" t="str">
        <f t="shared" si="2"/>
        <v>July</v>
      </c>
      <c r="D193" s="6" t="s">
        <v>216</v>
      </c>
      <c r="E193">
        <v>25</v>
      </c>
      <c r="F193">
        <v>100000</v>
      </c>
      <c r="G193">
        <v>2500000</v>
      </c>
    </row>
    <row r="194" spans="1:7" x14ac:dyDescent="0.45">
      <c r="A194" t="s">
        <v>380</v>
      </c>
      <c r="B194" t="s">
        <v>92</v>
      </c>
      <c r="C194" t="str">
        <f t="shared" si="2"/>
        <v>October</v>
      </c>
      <c r="D194" s="6" t="s">
        <v>381</v>
      </c>
      <c r="E194">
        <v>91</v>
      </c>
      <c r="F194">
        <v>200000</v>
      </c>
      <c r="G194">
        <v>18200000</v>
      </c>
    </row>
    <row r="195" spans="1:7" x14ac:dyDescent="0.45">
      <c r="A195" t="s">
        <v>382</v>
      </c>
      <c r="B195" t="s">
        <v>92</v>
      </c>
      <c r="C195" t="str">
        <f t="shared" ref="C195:C258" si="3">TEXT(D195,"mmmm")</f>
        <v>December</v>
      </c>
      <c r="D195" s="6" t="s">
        <v>335</v>
      </c>
      <c r="E195">
        <v>16</v>
      </c>
      <c r="F195">
        <v>75000</v>
      </c>
      <c r="G195">
        <v>1200000</v>
      </c>
    </row>
    <row r="196" spans="1:7" x14ac:dyDescent="0.45">
      <c r="A196" t="s">
        <v>383</v>
      </c>
      <c r="B196" t="s">
        <v>27</v>
      </c>
      <c r="C196" t="str">
        <f t="shared" si="3"/>
        <v>December</v>
      </c>
      <c r="D196" s="6" t="s">
        <v>384</v>
      </c>
      <c r="E196">
        <v>9</v>
      </c>
      <c r="F196">
        <v>50000</v>
      </c>
      <c r="G196">
        <v>450000</v>
      </c>
    </row>
    <row r="197" spans="1:7" x14ac:dyDescent="0.45">
      <c r="A197" t="s">
        <v>385</v>
      </c>
      <c r="B197" t="s">
        <v>30</v>
      </c>
      <c r="C197" t="str">
        <f t="shared" si="3"/>
        <v>October</v>
      </c>
      <c r="D197" s="6" t="s">
        <v>386</v>
      </c>
      <c r="E197">
        <v>95</v>
      </c>
      <c r="F197">
        <v>75000</v>
      </c>
      <c r="G197">
        <v>7125000</v>
      </c>
    </row>
    <row r="198" spans="1:7" x14ac:dyDescent="0.45">
      <c r="A198" t="s">
        <v>387</v>
      </c>
      <c r="B198" t="s">
        <v>45</v>
      </c>
      <c r="C198" t="str">
        <f t="shared" si="3"/>
        <v>February</v>
      </c>
      <c r="D198" s="6" t="s">
        <v>179</v>
      </c>
      <c r="E198">
        <v>76</v>
      </c>
      <c r="F198">
        <v>150000</v>
      </c>
      <c r="G198">
        <v>11400000</v>
      </c>
    </row>
    <row r="199" spans="1:7" x14ac:dyDescent="0.45">
      <c r="A199" t="s">
        <v>388</v>
      </c>
      <c r="B199" t="s">
        <v>119</v>
      </c>
      <c r="C199" t="str">
        <f t="shared" si="3"/>
        <v>March</v>
      </c>
      <c r="D199" s="6" t="s">
        <v>43</v>
      </c>
      <c r="E199">
        <v>26</v>
      </c>
      <c r="F199">
        <v>200000</v>
      </c>
      <c r="G199">
        <v>5200000</v>
      </c>
    </row>
    <row r="200" spans="1:7" x14ac:dyDescent="0.45">
      <c r="A200" t="s">
        <v>389</v>
      </c>
      <c r="B200" t="s">
        <v>48</v>
      </c>
      <c r="C200" t="str">
        <f t="shared" si="3"/>
        <v>April</v>
      </c>
      <c r="D200" s="6" t="s">
        <v>390</v>
      </c>
      <c r="E200">
        <v>94</v>
      </c>
      <c r="F200">
        <v>75000</v>
      </c>
      <c r="G200">
        <v>7050000</v>
      </c>
    </row>
    <row r="201" spans="1:7" x14ac:dyDescent="0.45">
      <c r="A201" t="s">
        <v>391</v>
      </c>
      <c r="B201" t="s">
        <v>36</v>
      </c>
      <c r="C201" t="str">
        <f t="shared" si="3"/>
        <v>March</v>
      </c>
      <c r="D201" s="6" t="s">
        <v>19</v>
      </c>
      <c r="E201">
        <v>27</v>
      </c>
      <c r="F201">
        <v>50000</v>
      </c>
      <c r="G201">
        <v>1350000</v>
      </c>
    </row>
    <row r="202" spans="1:7" x14ac:dyDescent="0.45">
      <c r="A202" t="s">
        <v>392</v>
      </c>
      <c r="B202" t="s">
        <v>10</v>
      </c>
      <c r="C202" t="str">
        <f t="shared" si="3"/>
        <v>May</v>
      </c>
      <c r="D202" s="6" t="s">
        <v>393</v>
      </c>
      <c r="E202">
        <v>89</v>
      </c>
      <c r="F202">
        <v>75000</v>
      </c>
      <c r="G202">
        <v>6675000</v>
      </c>
    </row>
    <row r="203" spans="1:7" x14ac:dyDescent="0.45">
      <c r="A203" t="s">
        <v>394</v>
      </c>
      <c r="B203" t="s">
        <v>172</v>
      </c>
      <c r="C203" t="str">
        <f t="shared" si="3"/>
        <v>September</v>
      </c>
      <c r="D203" s="6" t="s">
        <v>395</v>
      </c>
      <c r="E203">
        <v>34</v>
      </c>
      <c r="F203">
        <v>150000</v>
      </c>
      <c r="G203">
        <v>5100000</v>
      </c>
    </row>
    <row r="204" spans="1:7" x14ac:dyDescent="0.45">
      <c r="A204" t="s">
        <v>396</v>
      </c>
      <c r="B204" t="s">
        <v>21</v>
      </c>
      <c r="C204" t="str">
        <f t="shared" si="3"/>
        <v>January</v>
      </c>
      <c r="D204" s="6" t="s">
        <v>202</v>
      </c>
      <c r="E204">
        <v>10</v>
      </c>
      <c r="F204">
        <v>100000</v>
      </c>
      <c r="G204">
        <v>1000000</v>
      </c>
    </row>
    <row r="205" spans="1:7" x14ac:dyDescent="0.45">
      <c r="A205" t="s">
        <v>397</v>
      </c>
      <c r="B205" t="s">
        <v>90</v>
      </c>
      <c r="C205" t="str">
        <f t="shared" si="3"/>
        <v>December</v>
      </c>
      <c r="D205" s="6" t="s">
        <v>398</v>
      </c>
      <c r="E205">
        <v>43</v>
      </c>
      <c r="F205">
        <v>100000</v>
      </c>
      <c r="G205">
        <v>4300000</v>
      </c>
    </row>
    <row r="206" spans="1:7" x14ac:dyDescent="0.45">
      <c r="A206" t="s">
        <v>399</v>
      </c>
      <c r="B206" t="s">
        <v>139</v>
      </c>
      <c r="C206" t="str">
        <f t="shared" si="3"/>
        <v>February</v>
      </c>
      <c r="D206" s="6" t="s">
        <v>220</v>
      </c>
      <c r="E206">
        <v>88</v>
      </c>
      <c r="F206">
        <v>75000</v>
      </c>
      <c r="G206">
        <v>6600000</v>
      </c>
    </row>
    <row r="207" spans="1:7" x14ac:dyDescent="0.45">
      <c r="A207" t="s">
        <v>400</v>
      </c>
      <c r="B207" t="s">
        <v>27</v>
      </c>
      <c r="C207" t="str">
        <f t="shared" si="3"/>
        <v>December</v>
      </c>
      <c r="D207" s="6" t="s">
        <v>401</v>
      </c>
      <c r="E207">
        <v>81</v>
      </c>
      <c r="F207">
        <v>50000</v>
      </c>
      <c r="G207">
        <v>4050000</v>
      </c>
    </row>
    <row r="208" spans="1:7" x14ac:dyDescent="0.45">
      <c r="A208" t="s">
        <v>402</v>
      </c>
      <c r="B208" t="s">
        <v>10</v>
      </c>
      <c r="C208" t="str">
        <f t="shared" si="3"/>
        <v>October</v>
      </c>
      <c r="D208" s="6" t="s">
        <v>403</v>
      </c>
      <c r="E208">
        <v>69</v>
      </c>
      <c r="F208">
        <v>75000</v>
      </c>
      <c r="G208">
        <v>5175000</v>
      </c>
    </row>
    <row r="209" spans="1:7" x14ac:dyDescent="0.45">
      <c r="A209" t="s">
        <v>404</v>
      </c>
      <c r="B209" t="s">
        <v>139</v>
      </c>
      <c r="C209" t="str">
        <f t="shared" si="3"/>
        <v>November</v>
      </c>
      <c r="D209" s="6" t="s">
        <v>285</v>
      </c>
      <c r="E209">
        <v>56</v>
      </c>
      <c r="F209">
        <v>200000</v>
      </c>
      <c r="G209">
        <v>11200000</v>
      </c>
    </row>
    <row r="210" spans="1:7" x14ac:dyDescent="0.45">
      <c r="A210" t="s">
        <v>405</v>
      </c>
      <c r="B210" t="s">
        <v>152</v>
      </c>
      <c r="C210" t="str">
        <f t="shared" si="3"/>
        <v>February</v>
      </c>
      <c r="D210" s="6" t="s">
        <v>406</v>
      </c>
      <c r="E210">
        <v>87</v>
      </c>
      <c r="F210">
        <v>150000</v>
      </c>
      <c r="G210">
        <v>13050000</v>
      </c>
    </row>
    <row r="211" spans="1:7" x14ac:dyDescent="0.45">
      <c r="A211" t="s">
        <v>407</v>
      </c>
      <c r="B211" t="s">
        <v>95</v>
      </c>
      <c r="C211" t="str">
        <f t="shared" si="3"/>
        <v>February</v>
      </c>
      <c r="D211" s="6" t="s">
        <v>406</v>
      </c>
      <c r="E211">
        <v>85</v>
      </c>
      <c r="F211">
        <v>75000</v>
      </c>
      <c r="G211">
        <v>6375000</v>
      </c>
    </row>
    <row r="212" spans="1:7" x14ac:dyDescent="0.45">
      <c r="A212" t="s">
        <v>408</v>
      </c>
      <c r="B212" t="s">
        <v>152</v>
      </c>
      <c r="C212" t="str">
        <f t="shared" si="3"/>
        <v>December</v>
      </c>
      <c r="D212" s="6" t="s">
        <v>335</v>
      </c>
      <c r="E212">
        <v>57</v>
      </c>
      <c r="F212">
        <v>200000</v>
      </c>
      <c r="G212">
        <v>11400000</v>
      </c>
    </row>
    <row r="213" spans="1:7" x14ac:dyDescent="0.45">
      <c r="A213" t="s">
        <v>409</v>
      </c>
      <c r="B213" t="s">
        <v>33</v>
      </c>
      <c r="C213" t="str">
        <f t="shared" si="3"/>
        <v>October</v>
      </c>
      <c r="D213" s="6" t="s">
        <v>410</v>
      </c>
      <c r="E213">
        <v>35</v>
      </c>
      <c r="F213">
        <v>75000</v>
      </c>
      <c r="G213">
        <v>2625000</v>
      </c>
    </row>
    <row r="214" spans="1:7" x14ac:dyDescent="0.45">
      <c r="A214" t="s">
        <v>411</v>
      </c>
      <c r="B214" t="s">
        <v>92</v>
      </c>
      <c r="C214" t="str">
        <f t="shared" si="3"/>
        <v>January</v>
      </c>
      <c r="D214" s="6" t="s">
        <v>8</v>
      </c>
      <c r="E214">
        <v>75</v>
      </c>
      <c r="F214">
        <v>200000</v>
      </c>
      <c r="G214">
        <v>15000000</v>
      </c>
    </row>
    <row r="215" spans="1:7" x14ac:dyDescent="0.45">
      <c r="A215" t="s">
        <v>412</v>
      </c>
      <c r="B215" t="s">
        <v>58</v>
      </c>
      <c r="C215" t="str">
        <f t="shared" si="3"/>
        <v>June</v>
      </c>
      <c r="D215" s="6" t="s">
        <v>413</v>
      </c>
      <c r="E215">
        <v>8</v>
      </c>
      <c r="F215">
        <v>150000</v>
      </c>
      <c r="G215">
        <v>1200000</v>
      </c>
    </row>
    <row r="216" spans="1:7" x14ac:dyDescent="0.45">
      <c r="A216" t="s">
        <v>414</v>
      </c>
      <c r="B216" t="s">
        <v>90</v>
      </c>
      <c r="C216" t="str">
        <f t="shared" si="3"/>
        <v>March</v>
      </c>
      <c r="D216" s="6" t="s">
        <v>415</v>
      </c>
      <c r="E216">
        <v>74</v>
      </c>
      <c r="F216">
        <v>200000</v>
      </c>
      <c r="G216">
        <v>14800000</v>
      </c>
    </row>
    <row r="217" spans="1:7" x14ac:dyDescent="0.45">
      <c r="A217" t="s">
        <v>416</v>
      </c>
      <c r="B217" t="s">
        <v>229</v>
      </c>
      <c r="C217" t="str">
        <f t="shared" si="3"/>
        <v>September</v>
      </c>
      <c r="D217" s="6" t="s">
        <v>214</v>
      </c>
      <c r="E217">
        <v>53</v>
      </c>
      <c r="F217">
        <v>150000</v>
      </c>
      <c r="G217">
        <v>7950000</v>
      </c>
    </row>
    <row r="218" spans="1:7" x14ac:dyDescent="0.45">
      <c r="A218" t="s">
        <v>417</v>
      </c>
      <c r="B218" t="s">
        <v>13</v>
      </c>
      <c r="C218" t="str">
        <f t="shared" si="3"/>
        <v>November</v>
      </c>
      <c r="D218" s="6" t="s">
        <v>285</v>
      </c>
      <c r="E218">
        <v>42</v>
      </c>
      <c r="F218">
        <v>100000</v>
      </c>
      <c r="G218">
        <v>4200000</v>
      </c>
    </row>
    <row r="219" spans="1:7" x14ac:dyDescent="0.45">
      <c r="A219" t="s">
        <v>418</v>
      </c>
      <c r="B219" t="s">
        <v>58</v>
      </c>
      <c r="C219" t="str">
        <f t="shared" si="3"/>
        <v>October</v>
      </c>
      <c r="D219" s="6" t="s">
        <v>419</v>
      </c>
      <c r="E219">
        <v>29</v>
      </c>
      <c r="F219">
        <v>50000</v>
      </c>
      <c r="G219">
        <v>1450000</v>
      </c>
    </row>
    <row r="220" spans="1:7" x14ac:dyDescent="0.45">
      <c r="A220" t="s">
        <v>420</v>
      </c>
      <c r="B220" t="s">
        <v>90</v>
      </c>
      <c r="C220" t="str">
        <f t="shared" si="3"/>
        <v>January</v>
      </c>
      <c r="D220" s="6" t="s">
        <v>421</v>
      </c>
      <c r="E220">
        <v>14</v>
      </c>
      <c r="F220">
        <v>50000</v>
      </c>
      <c r="G220">
        <v>700000</v>
      </c>
    </row>
    <row r="221" spans="1:7" x14ac:dyDescent="0.45">
      <c r="A221" t="s">
        <v>422</v>
      </c>
      <c r="B221" t="s">
        <v>95</v>
      </c>
      <c r="C221" t="str">
        <f t="shared" si="3"/>
        <v>March</v>
      </c>
      <c r="D221" s="6" t="s">
        <v>423</v>
      </c>
      <c r="E221">
        <v>64</v>
      </c>
      <c r="F221">
        <v>150000</v>
      </c>
      <c r="G221">
        <v>9600000</v>
      </c>
    </row>
    <row r="222" spans="1:7" x14ac:dyDescent="0.45">
      <c r="A222" t="s">
        <v>424</v>
      </c>
      <c r="B222" t="s">
        <v>155</v>
      </c>
      <c r="C222" t="str">
        <f t="shared" si="3"/>
        <v>April</v>
      </c>
      <c r="D222" s="6" t="s">
        <v>425</v>
      </c>
      <c r="E222">
        <v>10</v>
      </c>
      <c r="F222">
        <v>200000</v>
      </c>
      <c r="G222">
        <v>2000000</v>
      </c>
    </row>
    <row r="223" spans="1:7" x14ac:dyDescent="0.45">
      <c r="A223" t="s">
        <v>426</v>
      </c>
      <c r="B223" t="s">
        <v>229</v>
      </c>
      <c r="C223" t="str">
        <f t="shared" si="3"/>
        <v>April</v>
      </c>
      <c r="D223" s="6" t="s">
        <v>427</v>
      </c>
      <c r="E223">
        <v>91</v>
      </c>
      <c r="F223">
        <v>75000</v>
      </c>
      <c r="G223">
        <v>6825000</v>
      </c>
    </row>
    <row r="224" spans="1:7" x14ac:dyDescent="0.45">
      <c r="A224" t="s">
        <v>428</v>
      </c>
      <c r="B224" t="s">
        <v>33</v>
      </c>
      <c r="C224" t="str">
        <f t="shared" si="3"/>
        <v>March</v>
      </c>
      <c r="D224" s="6" t="s">
        <v>181</v>
      </c>
      <c r="E224">
        <v>58</v>
      </c>
      <c r="F224">
        <v>200000</v>
      </c>
      <c r="G224">
        <v>11600000</v>
      </c>
    </row>
    <row r="225" spans="1:7" x14ac:dyDescent="0.45">
      <c r="A225" t="s">
        <v>429</v>
      </c>
      <c r="B225" t="s">
        <v>300</v>
      </c>
      <c r="C225" t="str">
        <f t="shared" si="3"/>
        <v>August</v>
      </c>
      <c r="D225" s="6" t="s">
        <v>88</v>
      </c>
      <c r="E225">
        <v>65</v>
      </c>
      <c r="F225">
        <v>100000</v>
      </c>
      <c r="G225">
        <v>6500000</v>
      </c>
    </row>
    <row r="226" spans="1:7" x14ac:dyDescent="0.45">
      <c r="A226" t="s">
        <v>430</v>
      </c>
      <c r="B226" t="s">
        <v>58</v>
      </c>
      <c r="C226" t="str">
        <f t="shared" si="3"/>
        <v>April</v>
      </c>
      <c r="D226" s="6" t="s">
        <v>431</v>
      </c>
      <c r="E226">
        <v>25</v>
      </c>
      <c r="F226">
        <v>200000</v>
      </c>
      <c r="G226">
        <v>5000000</v>
      </c>
    </row>
    <row r="227" spans="1:7" x14ac:dyDescent="0.45">
      <c r="A227" t="s">
        <v>432</v>
      </c>
      <c r="B227" t="s">
        <v>306</v>
      </c>
      <c r="C227" t="str">
        <f t="shared" si="3"/>
        <v>January</v>
      </c>
      <c r="D227" s="6" t="s">
        <v>433</v>
      </c>
      <c r="E227">
        <v>52</v>
      </c>
      <c r="F227">
        <v>150000</v>
      </c>
      <c r="G227">
        <v>7800000</v>
      </c>
    </row>
    <row r="228" spans="1:7" x14ac:dyDescent="0.45">
      <c r="A228" t="s">
        <v>434</v>
      </c>
      <c r="B228" t="s">
        <v>155</v>
      </c>
      <c r="C228" t="str">
        <f t="shared" si="3"/>
        <v>February</v>
      </c>
      <c r="D228" s="6" t="s">
        <v>435</v>
      </c>
      <c r="E228">
        <v>70</v>
      </c>
      <c r="F228">
        <v>75000</v>
      </c>
      <c r="G228">
        <v>5250000</v>
      </c>
    </row>
    <row r="229" spans="1:7" x14ac:dyDescent="0.45">
      <c r="A229" t="s">
        <v>436</v>
      </c>
      <c r="B229" t="s">
        <v>306</v>
      </c>
      <c r="C229" t="str">
        <f t="shared" si="3"/>
        <v>April</v>
      </c>
      <c r="D229" s="6" t="s">
        <v>437</v>
      </c>
      <c r="E229">
        <v>55</v>
      </c>
      <c r="F229">
        <v>100000</v>
      </c>
      <c r="G229">
        <v>5500000</v>
      </c>
    </row>
    <row r="230" spans="1:7" x14ac:dyDescent="0.45">
      <c r="A230" t="s">
        <v>438</v>
      </c>
      <c r="B230" t="s">
        <v>90</v>
      </c>
      <c r="C230" t="str">
        <f t="shared" si="3"/>
        <v>October</v>
      </c>
      <c r="D230" s="6" t="s">
        <v>439</v>
      </c>
      <c r="E230">
        <v>90</v>
      </c>
      <c r="F230">
        <v>75000</v>
      </c>
      <c r="G230">
        <v>6750000</v>
      </c>
    </row>
    <row r="231" spans="1:7" x14ac:dyDescent="0.45">
      <c r="A231" t="s">
        <v>440</v>
      </c>
      <c r="B231" t="s">
        <v>111</v>
      </c>
      <c r="C231" t="str">
        <f t="shared" si="3"/>
        <v>March</v>
      </c>
      <c r="D231" s="6" t="s">
        <v>441</v>
      </c>
      <c r="E231">
        <v>69</v>
      </c>
      <c r="F231">
        <v>50000</v>
      </c>
      <c r="G231">
        <v>3450000</v>
      </c>
    </row>
    <row r="232" spans="1:7" x14ac:dyDescent="0.45">
      <c r="A232" t="s">
        <v>442</v>
      </c>
      <c r="B232" t="s">
        <v>178</v>
      </c>
      <c r="C232" t="str">
        <f t="shared" si="3"/>
        <v>February</v>
      </c>
      <c r="D232" s="6" t="s">
        <v>162</v>
      </c>
      <c r="E232">
        <v>73</v>
      </c>
      <c r="F232">
        <v>150000</v>
      </c>
      <c r="G232">
        <v>10950000</v>
      </c>
    </row>
    <row r="233" spans="1:7" x14ac:dyDescent="0.45">
      <c r="A233" t="s">
        <v>443</v>
      </c>
      <c r="B233" t="s">
        <v>16</v>
      </c>
      <c r="C233" t="str">
        <f t="shared" si="3"/>
        <v>February</v>
      </c>
      <c r="D233" s="6" t="s">
        <v>179</v>
      </c>
      <c r="E233">
        <v>81</v>
      </c>
      <c r="F233">
        <v>100000</v>
      </c>
      <c r="G233">
        <v>8100000</v>
      </c>
    </row>
    <row r="234" spans="1:7" x14ac:dyDescent="0.45">
      <c r="A234" t="s">
        <v>444</v>
      </c>
      <c r="B234" t="s">
        <v>186</v>
      </c>
      <c r="C234" t="str">
        <f t="shared" si="3"/>
        <v>March</v>
      </c>
      <c r="D234" s="6" t="s">
        <v>445</v>
      </c>
      <c r="E234">
        <v>65</v>
      </c>
      <c r="F234">
        <v>200000</v>
      </c>
      <c r="G234">
        <v>13000000</v>
      </c>
    </row>
    <row r="235" spans="1:7" x14ac:dyDescent="0.45">
      <c r="A235" t="s">
        <v>446</v>
      </c>
      <c r="B235" t="s">
        <v>27</v>
      </c>
      <c r="C235" t="str">
        <f t="shared" si="3"/>
        <v>June</v>
      </c>
      <c r="D235" s="6" t="s">
        <v>288</v>
      </c>
      <c r="E235">
        <v>31</v>
      </c>
      <c r="F235">
        <v>200000</v>
      </c>
      <c r="G235">
        <v>6200000</v>
      </c>
    </row>
    <row r="236" spans="1:7" x14ac:dyDescent="0.45">
      <c r="A236" t="s">
        <v>447</v>
      </c>
      <c r="B236" t="s">
        <v>58</v>
      </c>
      <c r="C236" t="str">
        <f t="shared" si="3"/>
        <v>January</v>
      </c>
      <c r="D236" s="6" t="s">
        <v>345</v>
      </c>
      <c r="E236">
        <v>24</v>
      </c>
      <c r="F236">
        <v>200000</v>
      </c>
      <c r="G236">
        <v>4800000</v>
      </c>
    </row>
    <row r="237" spans="1:7" x14ac:dyDescent="0.45">
      <c r="A237" t="s">
        <v>448</v>
      </c>
      <c r="B237" t="s">
        <v>178</v>
      </c>
      <c r="C237" t="str">
        <f t="shared" si="3"/>
        <v>July</v>
      </c>
      <c r="D237" s="6" t="s">
        <v>62</v>
      </c>
      <c r="E237">
        <v>30</v>
      </c>
      <c r="F237">
        <v>75000</v>
      </c>
      <c r="G237">
        <v>2250000</v>
      </c>
    </row>
    <row r="238" spans="1:7" x14ac:dyDescent="0.45">
      <c r="A238" t="s">
        <v>449</v>
      </c>
      <c r="B238" t="s">
        <v>111</v>
      </c>
      <c r="C238" t="str">
        <f t="shared" si="3"/>
        <v>June</v>
      </c>
      <c r="D238" s="6" t="s">
        <v>288</v>
      </c>
      <c r="E238">
        <v>75</v>
      </c>
      <c r="F238">
        <v>100000</v>
      </c>
      <c r="G238">
        <v>7500000</v>
      </c>
    </row>
    <row r="239" spans="1:7" x14ac:dyDescent="0.45">
      <c r="A239" t="s">
        <v>450</v>
      </c>
      <c r="B239" t="s">
        <v>306</v>
      </c>
      <c r="C239" t="str">
        <f t="shared" si="3"/>
        <v>July</v>
      </c>
      <c r="D239" s="6" t="s">
        <v>107</v>
      </c>
      <c r="E239">
        <v>48</v>
      </c>
      <c r="F239">
        <v>200000</v>
      </c>
      <c r="G239">
        <v>9600000</v>
      </c>
    </row>
    <row r="240" spans="1:7" x14ac:dyDescent="0.45">
      <c r="A240" t="s">
        <v>451</v>
      </c>
      <c r="B240" t="s">
        <v>39</v>
      </c>
      <c r="C240" t="str">
        <f t="shared" si="3"/>
        <v>March</v>
      </c>
      <c r="D240" s="6" t="s">
        <v>452</v>
      </c>
      <c r="E240">
        <v>54</v>
      </c>
      <c r="F240">
        <v>75000</v>
      </c>
      <c r="G240">
        <v>4050000</v>
      </c>
    </row>
    <row r="241" spans="1:7" x14ac:dyDescent="0.45">
      <c r="A241" t="s">
        <v>453</v>
      </c>
      <c r="B241" t="s">
        <v>45</v>
      </c>
      <c r="C241" t="str">
        <f t="shared" si="3"/>
        <v>April</v>
      </c>
      <c r="D241" s="6" t="s">
        <v>454</v>
      </c>
      <c r="E241">
        <v>71</v>
      </c>
      <c r="F241">
        <v>200000</v>
      </c>
      <c r="G241">
        <v>14200000</v>
      </c>
    </row>
    <row r="242" spans="1:7" x14ac:dyDescent="0.45">
      <c r="A242" t="s">
        <v>455</v>
      </c>
      <c r="B242" t="s">
        <v>48</v>
      </c>
      <c r="C242" t="str">
        <f t="shared" si="3"/>
        <v>October</v>
      </c>
      <c r="D242" s="6" t="s">
        <v>456</v>
      </c>
      <c r="E242">
        <v>17</v>
      </c>
      <c r="F242">
        <v>75000</v>
      </c>
      <c r="G242">
        <v>1275000</v>
      </c>
    </row>
    <row r="243" spans="1:7" x14ac:dyDescent="0.45">
      <c r="A243" t="s">
        <v>457</v>
      </c>
      <c r="B243" t="s">
        <v>27</v>
      </c>
      <c r="C243" t="str">
        <f t="shared" si="3"/>
        <v>October</v>
      </c>
      <c r="D243" s="6" t="s">
        <v>419</v>
      </c>
      <c r="E243">
        <v>24</v>
      </c>
      <c r="F243">
        <v>150000</v>
      </c>
      <c r="G243">
        <v>3600000</v>
      </c>
    </row>
    <row r="244" spans="1:7" x14ac:dyDescent="0.45">
      <c r="A244" t="s">
        <v>458</v>
      </c>
      <c r="B244" t="s">
        <v>229</v>
      </c>
      <c r="C244" t="str">
        <f t="shared" si="3"/>
        <v>June</v>
      </c>
      <c r="D244" s="6" t="s">
        <v>459</v>
      </c>
      <c r="E244">
        <v>83</v>
      </c>
      <c r="F244">
        <v>50000</v>
      </c>
      <c r="G244">
        <v>4150000</v>
      </c>
    </row>
    <row r="245" spans="1:7" x14ac:dyDescent="0.45">
      <c r="A245" t="s">
        <v>460</v>
      </c>
      <c r="B245" t="s">
        <v>75</v>
      </c>
      <c r="C245" t="str">
        <f t="shared" si="3"/>
        <v>March</v>
      </c>
      <c r="D245" s="6" t="s">
        <v>461</v>
      </c>
      <c r="E245">
        <v>32</v>
      </c>
      <c r="F245">
        <v>50000</v>
      </c>
      <c r="G245">
        <v>1600000</v>
      </c>
    </row>
    <row r="246" spans="1:7" x14ac:dyDescent="0.45">
      <c r="A246" t="s">
        <v>462</v>
      </c>
      <c r="B246" t="s">
        <v>30</v>
      </c>
      <c r="C246" t="str">
        <f t="shared" si="3"/>
        <v>December</v>
      </c>
      <c r="D246" s="6" t="s">
        <v>463</v>
      </c>
      <c r="E246">
        <v>55</v>
      </c>
      <c r="F246">
        <v>100000</v>
      </c>
      <c r="G246">
        <v>5500000</v>
      </c>
    </row>
    <row r="247" spans="1:7" x14ac:dyDescent="0.45">
      <c r="A247" t="s">
        <v>464</v>
      </c>
      <c r="B247" t="s">
        <v>152</v>
      </c>
      <c r="C247" t="str">
        <f t="shared" si="3"/>
        <v>November</v>
      </c>
      <c r="D247" s="6" t="s">
        <v>173</v>
      </c>
      <c r="E247">
        <v>91</v>
      </c>
      <c r="F247">
        <v>50000</v>
      </c>
      <c r="G247">
        <v>4550000</v>
      </c>
    </row>
    <row r="248" spans="1:7" x14ac:dyDescent="0.45">
      <c r="A248" t="s">
        <v>465</v>
      </c>
      <c r="B248" t="s">
        <v>139</v>
      </c>
      <c r="C248" t="str">
        <f t="shared" si="3"/>
        <v>December</v>
      </c>
      <c r="D248" s="6" t="s">
        <v>466</v>
      </c>
      <c r="E248">
        <v>25</v>
      </c>
      <c r="F248">
        <v>75000</v>
      </c>
      <c r="G248">
        <v>1875000</v>
      </c>
    </row>
    <row r="249" spans="1:7" x14ac:dyDescent="0.45">
      <c r="A249" t="s">
        <v>467</v>
      </c>
      <c r="B249" t="s">
        <v>306</v>
      </c>
      <c r="C249" t="str">
        <f t="shared" si="3"/>
        <v>September</v>
      </c>
      <c r="D249" s="6" t="s">
        <v>468</v>
      </c>
      <c r="E249">
        <v>35</v>
      </c>
      <c r="F249">
        <v>100000</v>
      </c>
      <c r="G249">
        <v>3500000</v>
      </c>
    </row>
    <row r="250" spans="1:7" x14ac:dyDescent="0.45">
      <c r="A250" t="s">
        <v>469</v>
      </c>
      <c r="B250" t="s">
        <v>306</v>
      </c>
      <c r="C250" t="str">
        <f t="shared" si="3"/>
        <v>December</v>
      </c>
      <c r="D250" s="6" t="s">
        <v>212</v>
      </c>
      <c r="E250">
        <v>37</v>
      </c>
      <c r="F250">
        <v>75000</v>
      </c>
      <c r="G250">
        <v>2775000</v>
      </c>
    </row>
    <row r="251" spans="1:7" x14ac:dyDescent="0.45">
      <c r="A251" t="s">
        <v>470</v>
      </c>
      <c r="B251" t="s">
        <v>155</v>
      </c>
      <c r="C251" t="str">
        <f t="shared" si="3"/>
        <v>April</v>
      </c>
      <c r="D251" s="6" t="s">
        <v>471</v>
      </c>
      <c r="E251">
        <v>87</v>
      </c>
      <c r="F251">
        <v>150000</v>
      </c>
      <c r="G251">
        <v>13050000</v>
      </c>
    </row>
    <row r="252" spans="1:7" x14ac:dyDescent="0.45">
      <c r="A252" t="s">
        <v>472</v>
      </c>
      <c r="B252" t="s">
        <v>92</v>
      </c>
      <c r="C252" t="str">
        <f t="shared" si="3"/>
        <v>May</v>
      </c>
      <c r="D252" s="6" t="s">
        <v>14</v>
      </c>
      <c r="E252">
        <v>54</v>
      </c>
      <c r="F252">
        <v>100000</v>
      </c>
      <c r="G252">
        <v>5400000</v>
      </c>
    </row>
    <row r="253" spans="1:7" x14ac:dyDescent="0.45">
      <c r="A253" t="s">
        <v>473</v>
      </c>
      <c r="B253" t="s">
        <v>55</v>
      </c>
      <c r="C253" t="str">
        <f t="shared" si="3"/>
        <v>July</v>
      </c>
      <c r="D253" s="6" t="s">
        <v>259</v>
      </c>
      <c r="E253">
        <v>60</v>
      </c>
      <c r="F253">
        <v>50000</v>
      </c>
      <c r="G253">
        <v>3000000</v>
      </c>
    </row>
    <row r="254" spans="1:7" x14ac:dyDescent="0.45">
      <c r="A254" t="s">
        <v>474</v>
      </c>
      <c r="B254" t="s">
        <v>139</v>
      </c>
      <c r="C254" t="str">
        <f t="shared" si="3"/>
        <v>July</v>
      </c>
      <c r="D254" s="6" t="s">
        <v>259</v>
      </c>
      <c r="E254">
        <v>19</v>
      </c>
      <c r="F254">
        <v>200000</v>
      </c>
      <c r="G254">
        <v>3800000</v>
      </c>
    </row>
    <row r="255" spans="1:7" x14ac:dyDescent="0.45">
      <c r="A255" t="s">
        <v>475</v>
      </c>
      <c r="B255" t="s">
        <v>152</v>
      </c>
      <c r="C255" t="str">
        <f t="shared" si="3"/>
        <v>April</v>
      </c>
      <c r="D255" s="6" t="s">
        <v>476</v>
      </c>
      <c r="E255">
        <v>69</v>
      </c>
      <c r="F255">
        <v>100000</v>
      </c>
      <c r="G255">
        <v>6900000</v>
      </c>
    </row>
    <row r="256" spans="1:7" x14ac:dyDescent="0.45">
      <c r="A256" t="s">
        <v>477</v>
      </c>
      <c r="B256" t="s">
        <v>152</v>
      </c>
      <c r="C256" t="str">
        <f t="shared" si="3"/>
        <v>February</v>
      </c>
      <c r="D256" s="6" t="s">
        <v>329</v>
      </c>
      <c r="E256">
        <v>84</v>
      </c>
      <c r="F256">
        <v>50000</v>
      </c>
      <c r="G256">
        <v>4200000</v>
      </c>
    </row>
    <row r="257" spans="1:7" x14ac:dyDescent="0.45">
      <c r="A257" t="s">
        <v>478</v>
      </c>
      <c r="B257" t="s">
        <v>186</v>
      </c>
      <c r="C257" t="str">
        <f t="shared" si="3"/>
        <v>December</v>
      </c>
      <c r="D257" s="6" t="s">
        <v>479</v>
      </c>
      <c r="E257">
        <v>62</v>
      </c>
      <c r="F257">
        <v>75000</v>
      </c>
      <c r="G257">
        <v>4650000</v>
      </c>
    </row>
    <row r="258" spans="1:7" x14ac:dyDescent="0.45">
      <c r="A258" t="s">
        <v>480</v>
      </c>
      <c r="B258" t="s">
        <v>139</v>
      </c>
      <c r="C258" t="str">
        <f t="shared" si="3"/>
        <v>January</v>
      </c>
      <c r="D258" s="6" t="s">
        <v>206</v>
      </c>
      <c r="E258">
        <v>94</v>
      </c>
      <c r="F258">
        <v>200000</v>
      </c>
      <c r="G258">
        <v>18800000</v>
      </c>
    </row>
    <row r="259" spans="1:7" x14ac:dyDescent="0.45">
      <c r="A259" t="s">
        <v>481</v>
      </c>
      <c r="B259" t="s">
        <v>39</v>
      </c>
      <c r="C259" t="str">
        <f t="shared" ref="C259:C301" si="4">TEXT(D259,"mmmm")</f>
        <v>June</v>
      </c>
      <c r="D259" s="6" t="s">
        <v>46</v>
      </c>
      <c r="E259">
        <v>60</v>
      </c>
      <c r="F259">
        <v>50000</v>
      </c>
      <c r="G259">
        <v>3000000</v>
      </c>
    </row>
    <row r="260" spans="1:7" x14ac:dyDescent="0.45">
      <c r="A260" t="s">
        <v>482</v>
      </c>
      <c r="B260" t="s">
        <v>21</v>
      </c>
      <c r="C260" t="str">
        <f t="shared" si="4"/>
        <v>July</v>
      </c>
      <c r="D260" s="6" t="s">
        <v>483</v>
      </c>
      <c r="E260">
        <v>60</v>
      </c>
      <c r="F260">
        <v>200000</v>
      </c>
      <c r="G260">
        <v>12000000</v>
      </c>
    </row>
    <row r="261" spans="1:7" x14ac:dyDescent="0.45">
      <c r="A261" t="s">
        <v>484</v>
      </c>
      <c r="B261" t="s">
        <v>225</v>
      </c>
      <c r="C261" t="str">
        <f t="shared" si="4"/>
        <v>October</v>
      </c>
      <c r="D261" s="6" t="s">
        <v>485</v>
      </c>
      <c r="E261">
        <v>85</v>
      </c>
      <c r="F261">
        <v>150000</v>
      </c>
      <c r="G261">
        <v>12750000</v>
      </c>
    </row>
    <row r="262" spans="1:7" x14ac:dyDescent="0.45">
      <c r="A262" t="s">
        <v>486</v>
      </c>
      <c r="B262" t="s">
        <v>359</v>
      </c>
      <c r="C262" t="str">
        <f t="shared" si="4"/>
        <v>October</v>
      </c>
      <c r="D262" s="6" t="s">
        <v>487</v>
      </c>
      <c r="E262">
        <v>43</v>
      </c>
      <c r="F262">
        <v>50000</v>
      </c>
      <c r="G262">
        <v>2150000</v>
      </c>
    </row>
    <row r="263" spans="1:7" x14ac:dyDescent="0.45">
      <c r="A263" t="s">
        <v>488</v>
      </c>
      <c r="B263" t="s">
        <v>24</v>
      </c>
      <c r="C263" t="str">
        <f t="shared" si="4"/>
        <v>January</v>
      </c>
      <c r="D263" s="6" t="s">
        <v>202</v>
      </c>
      <c r="E263">
        <v>89</v>
      </c>
      <c r="F263">
        <v>100000</v>
      </c>
      <c r="G263">
        <v>8900000</v>
      </c>
    </row>
    <row r="264" spans="1:7" x14ac:dyDescent="0.45">
      <c r="A264" t="s">
        <v>489</v>
      </c>
      <c r="B264" t="s">
        <v>359</v>
      </c>
      <c r="C264" t="str">
        <f t="shared" si="4"/>
        <v>December</v>
      </c>
      <c r="D264" s="6" t="s">
        <v>490</v>
      </c>
      <c r="E264">
        <v>13</v>
      </c>
      <c r="F264">
        <v>75000</v>
      </c>
      <c r="G264">
        <v>975000</v>
      </c>
    </row>
    <row r="265" spans="1:7" x14ac:dyDescent="0.45">
      <c r="A265" t="s">
        <v>491</v>
      </c>
      <c r="B265" t="s">
        <v>48</v>
      </c>
      <c r="C265" t="str">
        <f t="shared" si="4"/>
        <v>November</v>
      </c>
      <c r="D265" s="6" t="s">
        <v>245</v>
      </c>
      <c r="E265">
        <v>33</v>
      </c>
      <c r="F265">
        <v>150000</v>
      </c>
      <c r="G265">
        <v>4950000</v>
      </c>
    </row>
    <row r="266" spans="1:7" x14ac:dyDescent="0.45">
      <c r="A266" t="s">
        <v>492</v>
      </c>
      <c r="B266" t="s">
        <v>33</v>
      </c>
      <c r="C266" t="str">
        <f t="shared" si="4"/>
        <v>August</v>
      </c>
      <c r="D266" s="6" t="s">
        <v>493</v>
      </c>
      <c r="E266">
        <v>94</v>
      </c>
      <c r="F266">
        <v>150000</v>
      </c>
      <c r="G266">
        <v>14100000</v>
      </c>
    </row>
    <row r="267" spans="1:7" x14ac:dyDescent="0.45">
      <c r="A267" t="s">
        <v>494</v>
      </c>
      <c r="B267" t="s">
        <v>36</v>
      </c>
      <c r="C267" t="str">
        <f t="shared" si="4"/>
        <v>September</v>
      </c>
      <c r="D267" s="6" t="s">
        <v>343</v>
      </c>
      <c r="E267">
        <v>65</v>
      </c>
      <c r="F267">
        <v>200000</v>
      </c>
      <c r="G267">
        <v>13000000</v>
      </c>
    </row>
    <row r="268" spans="1:7" x14ac:dyDescent="0.45">
      <c r="A268" t="s">
        <v>495</v>
      </c>
      <c r="B268" t="s">
        <v>24</v>
      </c>
      <c r="C268" t="str">
        <f t="shared" si="4"/>
        <v>July</v>
      </c>
      <c r="D268" s="6" t="s">
        <v>496</v>
      </c>
      <c r="E268">
        <v>13</v>
      </c>
      <c r="F268">
        <v>100000</v>
      </c>
      <c r="G268">
        <v>1300000</v>
      </c>
    </row>
    <row r="269" spans="1:7" x14ac:dyDescent="0.45">
      <c r="A269" t="s">
        <v>497</v>
      </c>
      <c r="B269" t="s">
        <v>300</v>
      </c>
      <c r="C269" t="str">
        <f t="shared" si="4"/>
        <v>March</v>
      </c>
      <c r="D269" s="6" t="s">
        <v>415</v>
      </c>
      <c r="E269">
        <v>93</v>
      </c>
      <c r="F269">
        <v>200000</v>
      </c>
      <c r="G269">
        <v>18600000</v>
      </c>
    </row>
    <row r="270" spans="1:7" x14ac:dyDescent="0.45">
      <c r="A270" t="s">
        <v>498</v>
      </c>
      <c r="B270" t="s">
        <v>10</v>
      </c>
      <c r="C270" t="str">
        <f t="shared" si="4"/>
        <v>July</v>
      </c>
      <c r="D270" s="6" t="s">
        <v>499</v>
      </c>
      <c r="E270">
        <v>65</v>
      </c>
      <c r="F270">
        <v>150000</v>
      </c>
      <c r="G270">
        <v>9750000</v>
      </c>
    </row>
    <row r="271" spans="1:7" x14ac:dyDescent="0.45">
      <c r="A271" t="s">
        <v>500</v>
      </c>
      <c r="B271" t="s">
        <v>48</v>
      </c>
      <c r="C271" t="str">
        <f t="shared" si="4"/>
        <v>July</v>
      </c>
      <c r="D271" s="6" t="s">
        <v>501</v>
      </c>
      <c r="E271">
        <v>35</v>
      </c>
      <c r="F271">
        <v>200000</v>
      </c>
      <c r="G271">
        <v>7000000</v>
      </c>
    </row>
    <row r="272" spans="1:7" x14ac:dyDescent="0.45">
      <c r="A272" t="s">
        <v>502</v>
      </c>
      <c r="B272" t="s">
        <v>45</v>
      </c>
      <c r="C272" t="str">
        <f t="shared" si="4"/>
        <v>March</v>
      </c>
      <c r="D272" s="6" t="s">
        <v>503</v>
      </c>
      <c r="E272">
        <v>37</v>
      </c>
      <c r="F272">
        <v>75000</v>
      </c>
      <c r="G272">
        <v>2775000</v>
      </c>
    </row>
    <row r="273" spans="1:7" x14ac:dyDescent="0.45">
      <c r="A273" t="s">
        <v>504</v>
      </c>
      <c r="B273" t="s">
        <v>359</v>
      </c>
      <c r="C273" t="str">
        <f t="shared" si="4"/>
        <v>June</v>
      </c>
      <c r="D273" s="6" t="s">
        <v>109</v>
      </c>
      <c r="E273">
        <v>64</v>
      </c>
      <c r="F273">
        <v>75000</v>
      </c>
      <c r="G273">
        <v>4800000</v>
      </c>
    </row>
    <row r="274" spans="1:7" x14ac:dyDescent="0.45">
      <c r="A274" t="s">
        <v>505</v>
      </c>
      <c r="B274" t="s">
        <v>75</v>
      </c>
      <c r="C274" t="str">
        <f t="shared" si="4"/>
        <v>February</v>
      </c>
      <c r="D274" s="6" t="s">
        <v>86</v>
      </c>
      <c r="E274">
        <v>31</v>
      </c>
      <c r="F274">
        <v>75000</v>
      </c>
      <c r="G274">
        <v>2325000</v>
      </c>
    </row>
    <row r="275" spans="1:7" x14ac:dyDescent="0.45">
      <c r="A275" t="s">
        <v>506</v>
      </c>
      <c r="B275" t="s">
        <v>191</v>
      </c>
      <c r="C275" t="str">
        <f t="shared" si="4"/>
        <v>March</v>
      </c>
      <c r="D275" s="6" t="s">
        <v>452</v>
      </c>
      <c r="E275">
        <v>94</v>
      </c>
      <c r="F275">
        <v>100000</v>
      </c>
      <c r="G275">
        <v>9400000</v>
      </c>
    </row>
    <row r="276" spans="1:7" x14ac:dyDescent="0.45">
      <c r="A276" t="s">
        <v>507</v>
      </c>
      <c r="B276" t="s">
        <v>7</v>
      </c>
      <c r="C276" t="str">
        <f t="shared" si="4"/>
        <v>September</v>
      </c>
      <c r="D276" s="6" t="s">
        <v>508</v>
      </c>
      <c r="E276">
        <v>32</v>
      </c>
      <c r="F276">
        <v>200000</v>
      </c>
      <c r="G276">
        <v>6400000</v>
      </c>
    </row>
    <row r="277" spans="1:7" x14ac:dyDescent="0.45">
      <c r="A277" t="s">
        <v>509</v>
      </c>
      <c r="B277" t="s">
        <v>83</v>
      </c>
      <c r="C277" t="str">
        <f t="shared" si="4"/>
        <v>January</v>
      </c>
      <c r="D277" s="6" t="s">
        <v>96</v>
      </c>
      <c r="E277">
        <v>14</v>
      </c>
      <c r="F277">
        <v>150000</v>
      </c>
      <c r="G277">
        <v>2100000</v>
      </c>
    </row>
    <row r="278" spans="1:7" x14ac:dyDescent="0.45">
      <c r="A278" t="s">
        <v>510</v>
      </c>
      <c r="B278" t="s">
        <v>30</v>
      </c>
      <c r="C278" t="str">
        <f t="shared" si="4"/>
        <v>August</v>
      </c>
      <c r="D278" s="6" t="s">
        <v>301</v>
      </c>
      <c r="E278">
        <v>96</v>
      </c>
      <c r="F278">
        <v>50000</v>
      </c>
      <c r="G278">
        <v>4800000</v>
      </c>
    </row>
    <row r="279" spans="1:7" x14ac:dyDescent="0.45">
      <c r="A279" t="s">
        <v>511</v>
      </c>
      <c r="B279" t="s">
        <v>10</v>
      </c>
      <c r="C279" t="str">
        <f t="shared" si="4"/>
        <v>July</v>
      </c>
      <c r="D279" s="6" t="s">
        <v>40</v>
      </c>
      <c r="E279">
        <v>78</v>
      </c>
      <c r="F279">
        <v>50000</v>
      </c>
      <c r="G279">
        <v>3900000</v>
      </c>
    </row>
    <row r="280" spans="1:7" x14ac:dyDescent="0.45">
      <c r="A280" t="s">
        <v>512</v>
      </c>
      <c r="B280" t="s">
        <v>21</v>
      </c>
      <c r="C280" t="str">
        <f t="shared" si="4"/>
        <v>April</v>
      </c>
      <c r="D280" s="6" t="s">
        <v>513</v>
      </c>
      <c r="E280">
        <v>50</v>
      </c>
      <c r="F280">
        <v>100000</v>
      </c>
      <c r="G280">
        <v>5000000</v>
      </c>
    </row>
    <row r="281" spans="1:7" x14ac:dyDescent="0.45">
      <c r="A281" t="s">
        <v>514</v>
      </c>
      <c r="B281" t="s">
        <v>16</v>
      </c>
      <c r="C281" t="str">
        <f t="shared" si="4"/>
        <v>May</v>
      </c>
      <c r="D281" s="6" t="s">
        <v>367</v>
      </c>
      <c r="E281">
        <v>58</v>
      </c>
      <c r="F281">
        <v>150000</v>
      </c>
      <c r="G281">
        <v>8700000</v>
      </c>
    </row>
    <row r="282" spans="1:7" x14ac:dyDescent="0.45">
      <c r="A282" t="s">
        <v>515</v>
      </c>
      <c r="B282" t="s">
        <v>13</v>
      </c>
      <c r="C282" t="str">
        <f t="shared" si="4"/>
        <v>October</v>
      </c>
      <c r="D282" s="6" t="s">
        <v>410</v>
      </c>
      <c r="E282">
        <v>72</v>
      </c>
      <c r="F282">
        <v>50000</v>
      </c>
      <c r="G282">
        <v>3600000</v>
      </c>
    </row>
    <row r="283" spans="1:7" x14ac:dyDescent="0.45">
      <c r="A283" t="s">
        <v>516</v>
      </c>
      <c r="B283" t="s">
        <v>139</v>
      </c>
      <c r="C283" t="str">
        <f t="shared" si="4"/>
        <v>September</v>
      </c>
      <c r="D283" s="6" t="s">
        <v>214</v>
      </c>
      <c r="E283">
        <v>89</v>
      </c>
      <c r="F283">
        <v>75000</v>
      </c>
      <c r="G283">
        <v>6675000</v>
      </c>
    </row>
    <row r="284" spans="1:7" x14ac:dyDescent="0.45">
      <c r="A284" t="s">
        <v>517</v>
      </c>
      <c r="B284" t="s">
        <v>119</v>
      </c>
      <c r="C284" t="str">
        <f t="shared" si="4"/>
        <v>April</v>
      </c>
      <c r="D284" s="6" t="s">
        <v>249</v>
      </c>
      <c r="E284">
        <v>71</v>
      </c>
      <c r="F284">
        <v>50000</v>
      </c>
      <c r="G284">
        <v>3550000</v>
      </c>
    </row>
    <row r="285" spans="1:7" x14ac:dyDescent="0.45">
      <c r="A285" t="s">
        <v>518</v>
      </c>
      <c r="B285" t="s">
        <v>92</v>
      </c>
      <c r="C285" t="str">
        <f t="shared" si="4"/>
        <v>May</v>
      </c>
      <c r="D285" s="6" t="s">
        <v>519</v>
      </c>
      <c r="E285">
        <v>45</v>
      </c>
      <c r="F285">
        <v>150000</v>
      </c>
      <c r="G285">
        <v>6750000</v>
      </c>
    </row>
    <row r="286" spans="1:7" x14ac:dyDescent="0.45">
      <c r="A286" t="s">
        <v>520</v>
      </c>
      <c r="B286" t="s">
        <v>229</v>
      </c>
      <c r="C286" t="str">
        <f t="shared" si="4"/>
        <v>January</v>
      </c>
      <c r="D286" s="6" t="s">
        <v>8</v>
      </c>
      <c r="E286">
        <v>50</v>
      </c>
      <c r="F286">
        <v>75000</v>
      </c>
      <c r="G286">
        <v>3750000</v>
      </c>
    </row>
    <row r="287" spans="1:7" x14ac:dyDescent="0.45">
      <c r="A287" t="s">
        <v>521</v>
      </c>
      <c r="B287" t="s">
        <v>36</v>
      </c>
      <c r="C287" t="str">
        <f t="shared" si="4"/>
        <v>February</v>
      </c>
      <c r="D287" s="6" t="s">
        <v>522</v>
      </c>
      <c r="E287">
        <v>75</v>
      </c>
      <c r="F287">
        <v>50000</v>
      </c>
      <c r="G287">
        <v>3750000</v>
      </c>
    </row>
    <row r="288" spans="1:7" x14ac:dyDescent="0.45">
      <c r="A288" t="s">
        <v>523</v>
      </c>
      <c r="B288" t="s">
        <v>119</v>
      </c>
      <c r="C288" t="str">
        <f t="shared" si="4"/>
        <v>December</v>
      </c>
      <c r="D288" s="6" t="s">
        <v>524</v>
      </c>
      <c r="E288">
        <v>50</v>
      </c>
      <c r="F288">
        <v>50000</v>
      </c>
      <c r="G288">
        <v>2500000</v>
      </c>
    </row>
    <row r="289" spans="1:7" x14ac:dyDescent="0.45">
      <c r="A289" t="s">
        <v>525</v>
      </c>
      <c r="B289" t="s">
        <v>134</v>
      </c>
      <c r="C289" t="str">
        <f t="shared" si="4"/>
        <v>September</v>
      </c>
      <c r="D289" s="6" t="s">
        <v>526</v>
      </c>
      <c r="E289">
        <v>53</v>
      </c>
      <c r="F289">
        <v>50000</v>
      </c>
      <c r="G289">
        <v>2650000</v>
      </c>
    </row>
    <row r="290" spans="1:7" x14ac:dyDescent="0.45">
      <c r="A290" t="s">
        <v>527</v>
      </c>
      <c r="B290" t="s">
        <v>106</v>
      </c>
      <c r="C290" t="str">
        <f t="shared" si="4"/>
        <v>November</v>
      </c>
      <c r="D290" s="6" t="s">
        <v>528</v>
      </c>
      <c r="E290">
        <v>98</v>
      </c>
      <c r="F290">
        <v>50000</v>
      </c>
      <c r="G290">
        <v>4900000</v>
      </c>
    </row>
    <row r="291" spans="1:7" x14ac:dyDescent="0.45">
      <c r="A291" t="s">
        <v>529</v>
      </c>
      <c r="B291" t="s">
        <v>45</v>
      </c>
      <c r="C291" t="str">
        <f t="shared" si="4"/>
        <v>March</v>
      </c>
      <c r="D291" s="6" t="s">
        <v>309</v>
      </c>
      <c r="E291">
        <v>68</v>
      </c>
      <c r="F291">
        <v>150000</v>
      </c>
      <c r="G291">
        <v>10200000</v>
      </c>
    </row>
    <row r="292" spans="1:7" x14ac:dyDescent="0.45">
      <c r="A292" t="s">
        <v>530</v>
      </c>
      <c r="B292" t="s">
        <v>111</v>
      </c>
      <c r="C292" t="str">
        <f t="shared" si="4"/>
        <v>January</v>
      </c>
      <c r="D292" s="6" t="s">
        <v>307</v>
      </c>
      <c r="E292">
        <v>42</v>
      </c>
      <c r="F292">
        <v>50000</v>
      </c>
      <c r="G292">
        <v>2100000</v>
      </c>
    </row>
    <row r="293" spans="1:7" x14ac:dyDescent="0.45">
      <c r="A293" t="s">
        <v>531</v>
      </c>
      <c r="B293" t="s">
        <v>155</v>
      </c>
      <c r="C293" t="str">
        <f t="shared" si="4"/>
        <v>July</v>
      </c>
      <c r="D293" s="6" t="s">
        <v>501</v>
      </c>
      <c r="E293">
        <v>44</v>
      </c>
      <c r="F293">
        <v>100000</v>
      </c>
      <c r="G293">
        <v>4400000</v>
      </c>
    </row>
    <row r="294" spans="1:7" x14ac:dyDescent="0.45">
      <c r="A294" t="s">
        <v>532</v>
      </c>
      <c r="B294" t="s">
        <v>134</v>
      </c>
      <c r="C294" t="str">
        <f t="shared" si="4"/>
        <v>May</v>
      </c>
      <c r="D294" s="6" t="s">
        <v>533</v>
      </c>
      <c r="E294">
        <v>69</v>
      </c>
      <c r="F294">
        <v>75000</v>
      </c>
      <c r="G294">
        <v>5175000</v>
      </c>
    </row>
    <row r="295" spans="1:7" x14ac:dyDescent="0.45">
      <c r="A295" t="s">
        <v>534</v>
      </c>
      <c r="B295" t="s">
        <v>111</v>
      </c>
      <c r="C295" t="str">
        <f t="shared" si="4"/>
        <v>November</v>
      </c>
      <c r="D295" s="6" t="s">
        <v>535</v>
      </c>
      <c r="E295">
        <v>17</v>
      </c>
      <c r="F295">
        <v>100000</v>
      </c>
      <c r="G295">
        <v>1700000</v>
      </c>
    </row>
    <row r="296" spans="1:7" x14ac:dyDescent="0.45">
      <c r="A296" t="s">
        <v>536</v>
      </c>
      <c r="B296" t="s">
        <v>106</v>
      </c>
      <c r="C296" t="str">
        <f t="shared" si="4"/>
        <v>February</v>
      </c>
      <c r="D296" s="6" t="s">
        <v>179</v>
      </c>
      <c r="E296">
        <v>45</v>
      </c>
      <c r="F296">
        <v>100000</v>
      </c>
      <c r="G296">
        <v>4500000</v>
      </c>
    </row>
    <row r="297" spans="1:7" x14ac:dyDescent="0.45">
      <c r="A297" t="s">
        <v>537</v>
      </c>
      <c r="B297" t="s">
        <v>42</v>
      </c>
      <c r="C297" t="str">
        <f t="shared" si="4"/>
        <v>January</v>
      </c>
      <c r="D297" s="6" t="s">
        <v>307</v>
      </c>
      <c r="E297">
        <v>14</v>
      </c>
      <c r="F297">
        <v>200000</v>
      </c>
      <c r="G297">
        <v>2800000</v>
      </c>
    </row>
    <row r="298" spans="1:7" x14ac:dyDescent="0.45">
      <c r="A298" t="s">
        <v>538</v>
      </c>
      <c r="B298" t="s">
        <v>58</v>
      </c>
      <c r="C298" t="str">
        <f t="shared" si="4"/>
        <v>June</v>
      </c>
      <c r="D298" s="6" t="s">
        <v>539</v>
      </c>
      <c r="E298">
        <v>5</v>
      </c>
      <c r="F298">
        <v>100000</v>
      </c>
      <c r="G298">
        <v>500000</v>
      </c>
    </row>
    <row r="299" spans="1:7" x14ac:dyDescent="0.45">
      <c r="A299" t="s">
        <v>540</v>
      </c>
      <c r="B299" t="s">
        <v>119</v>
      </c>
      <c r="C299" t="str">
        <f t="shared" si="4"/>
        <v>September</v>
      </c>
      <c r="D299" s="6" t="s">
        <v>541</v>
      </c>
      <c r="E299">
        <v>92</v>
      </c>
      <c r="F299">
        <v>100000</v>
      </c>
      <c r="G299">
        <v>9200000</v>
      </c>
    </row>
    <row r="300" spans="1:7" x14ac:dyDescent="0.45">
      <c r="A300" t="s">
        <v>542</v>
      </c>
      <c r="B300" t="s">
        <v>191</v>
      </c>
      <c r="C300" t="str">
        <f t="shared" si="4"/>
        <v>April</v>
      </c>
      <c r="D300" s="6" t="s">
        <v>543</v>
      </c>
      <c r="E300">
        <v>20</v>
      </c>
      <c r="F300">
        <v>150000</v>
      </c>
      <c r="G300">
        <v>3000000</v>
      </c>
    </row>
    <row r="301" spans="1:7" x14ac:dyDescent="0.45">
      <c r="A301" t="s">
        <v>544</v>
      </c>
      <c r="B301" t="s">
        <v>300</v>
      </c>
      <c r="C301" t="str">
        <f t="shared" si="4"/>
        <v>March</v>
      </c>
      <c r="D301" s="6" t="s">
        <v>545</v>
      </c>
      <c r="E301">
        <v>57</v>
      </c>
      <c r="F301">
        <v>150000</v>
      </c>
      <c r="G301">
        <v>8550000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1"/>
  <sheetViews>
    <sheetView workbookViewId="0">
      <selection activeCell="B1" sqref="B1:B1048576"/>
    </sheetView>
  </sheetViews>
  <sheetFormatPr defaultRowHeight="14.25" x14ac:dyDescent="0.45"/>
  <cols>
    <col min="2" max="2" width="8.9296875" bestFit="1" customWidth="1"/>
    <col min="3" max="3" width="12.3984375" bestFit="1" customWidth="1"/>
  </cols>
  <sheetData>
    <row r="1" spans="1:3" x14ac:dyDescent="0.45">
      <c r="A1" s="1" t="s">
        <v>546</v>
      </c>
      <c r="B1" s="1" t="s">
        <v>0</v>
      </c>
      <c r="C1" s="1" t="s">
        <v>547</v>
      </c>
    </row>
    <row r="2" spans="1:3" x14ac:dyDescent="0.45">
      <c r="A2" t="s">
        <v>548</v>
      </c>
      <c r="B2" t="s">
        <v>6</v>
      </c>
      <c r="C2">
        <v>100</v>
      </c>
    </row>
    <row r="3" spans="1:3" x14ac:dyDescent="0.45">
      <c r="A3" t="s">
        <v>549</v>
      </c>
      <c r="B3" t="s">
        <v>9</v>
      </c>
      <c r="C3">
        <v>21</v>
      </c>
    </row>
    <row r="4" spans="1:3" x14ac:dyDescent="0.45">
      <c r="A4" t="s">
        <v>550</v>
      </c>
      <c r="B4" t="s">
        <v>12</v>
      </c>
      <c r="C4">
        <v>90</v>
      </c>
    </row>
    <row r="5" spans="1:3" x14ac:dyDescent="0.45">
      <c r="A5" t="s">
        <v>551</v>
      </c>
      <c r="B5" t="s">
        <v>15</v>
      </c>
      <c r="C5">
        <v>93</v>
      </c>
    </row>
    <row r="6" spans="1:3" x14ac:dyDescent="0.45">
      <c r="A6" t="s">
        <v>552</v>
      </c>
      <c r="B6" t="s">
        <v>18</v>
      </c>
      <c r="C6">
        <v>35</v>
      </c>
    </row>
    <row r="7" spans="1:3" x14ac:dyDescent="0.45">
      <c r="A7" t="s">
        <v>553</v>
      </c>
      <c r="B7" t="s">
        <v>20</v>
      </c>
      <c r="C7">
        <v>91</v>
      </c>
    </row>
    <row r="8" spans="1:3" x14ac:dyDescent="0.45">
      <c r="A8" t="s">
        <v>554</v>
      </c>
      <c r="B8" t="s">
        <v>23</v>
      </c>
      <c r="C8">
        <v>13</v>
      </c>
    </row>
    <row r="9" spans="1:3" x14ac:dyDescent="0.45">
      <c r="A9" t="s">
        <v>555</v>
      </c>
      <c r="B9" t="s">
        <v>26</v>
      </c>
      <c r="C9">
        <v>34</v>
      </c>
    </row>
    <row r="10" spans="1:3" x14ac:dyDescent="0.45">
      <c r="A10" t="s">
        <v>556</v>
      </c>
      <c r="B10" t="s">
        <v>29</v>
      </c>
      <c r="C10">
        <v>24</v>
      </c>
    </row>
    <row r="11" spans="1:3" x14ac:dyDescent="0.45">
      <c r="A11" t="s">
        <v>557</v>
      </c>
      <c r="B11" t="s">
        <v>32</v>
      </c>
      <c r="C11">
        <v>71</v>
      </c>
    </row>
    <row r="12" spans="1:3" x14ac:dyDescent="0.45">
      <c r="A12" t="s">
        <v>558</v>
      </c>
      <c r="B12" t="s">
        <v>35</v>
      </c>
      <c r="C12">
        <v>97</v>
      </c>
    </row>
    <row r="13" spans="1:3" x14ac:dyDescent="0.45">
      <c r="A13" t="s">
        <v>559</v>
      </c>
      <c r="B13" t="s">
        <v>38</v>
      </c>
      <c r="C13">
        <v>98</v>
      </c>
    </row>
    <row r="14" spans="1:3" x14ac:dyDescent="0.45">
      <c r="A14" t="s">
        <v>560</v>
      </c>
      <c r="B14" t="s">
        <v>41</v>
      </c>
      <c r="C14">
        <v>43</v>
      </c>
    </row>
    <row r="15" spans="1:3" x14ac:dyDescent="0.45">
      <c r="A15" t="s">
        <v>561</v>
      </c>
      <c r="B15" t="s">
        <v>44</v>
      </c>
      <c r="C15">
        <v>71</v>
      </c>
    </row>
    <row r="16" spans="1:3" x14ac:dyDescent="0.45">
      <c r="A16" t="s">
        <v>562</v>
      </c>
      <c r="B16" t="s">
        <v>47</v>
      </c>
      <c r="C16">
        <v>68</v>
      </c>
    </row>
    <row r="17" spans="1:3" x14ac:dyDescent="0.45">
      <c r="A17" t="s">
        <v>563</v>
      </c>
      <c r="B17" t="s">
        <v>50</v>
      </c>
      <c r="C17">
        <v>11</v>
      </c>
    </row>
    <row r="18" spans="1:3" x14ac:dyDescent="0.45">
      <c r="A18" t="s">
        <v>564</v>
      </c>
      <c r="B18" t="s">
        <v>52</v>
      </c>
      <c r="C18">
        <v>63</v>
      </c>
    </row>
    <row r="19" spans="1:3" x14ac:dyDescent="0.45">
      <c r="A19" t="s">
        <v>565</v>
      </c>
      <c r="B19" t="s">
        <v>54</v>
      </c>
      <c r="C19">
        <v>26</v>
      </c>
    </row>
    <row r="20" spans="1:3" x14ac:dyDescent="0.45">
      <c r="A20" t="s">
        <v>566</v>
      </c>
      <c r="B20" t="s">
        <v>57</v>
      </c>
      <c r="C20">
        <v>79</v>
      </c>
    </row>
    <row r="21" spans="1:3" x14ac:dyDescent="0.45">
      <c r="A21" t="s">
        <v>567</v>
      </c>
      <c r="B21" t="s">
        <v>60</v>
      </c>
      <c r="C21">
        <v>34</v>
      </c>
    </row>
    <row r="22" spans="1:3" x14ac:dyDescent="0.45">
      <c r="A22" t="s">
        <v>568</v>
      </c>
      <c r="B22" t="s">
        <v>63</v>
      </c>
      <c r="C22">
        <v>89</v>
      </c>
    </row>
    <row r="23" spans="1:3" x14ac:dyDescent="0.45">
      <c r="A23" t="s">
        <v>569</v>
      </c>
      <c r="B23" t="s">
        <v>66</v>
      </c>
      <c r="C23">
        <v>49</v>
      </c>
    </row>
    <row r="24" spans="1:3" x14ac:dyDescent="0.45">
      <c r="A24" t="s">
        <v>570</v>
      </c>
      <c r="B24" t="s">
        <v>68</v>
      </c>
      <c r="C24">
        <v>94</v>
      </c>
    </row>
    <row r="25" spans="1:3" x14ac:dyDescent="0.45">
      <c r="A25" t="s">
        <v>571</v>
      </c>
      <c r="B25" t="s">
        <v>70</v>
      </c>
      <c r="C25">
        <v>59</v>
      </c>
    </row>
    <row r="26" spans="1:3" x14ac:dyDescent="0.45">
      <c r="A26" t="s">
        <v>572</v>
      </c>
      <c r="B26" t="s">
        <v>72</v>
      </c>
      <c r="C26">
        <v>18</v>
      </c>
    </row>
    <row r="27" spans="1:3" x14ac:dyDescent="0.45">
      <c r="A27" t="s">
        <v>573</v>
      </c>
      <c r="B27" t="s">
        <v>74</v>
      </c>
      <c r="C27">
        <v>58</v>
      </c>
    </row>
    <row r="28" spans="1:3" x14ac:dyDescent="0.45">
      <c r="A28" t="s">
        <v>574</v>
      </c>
      <c r="B28" t="s">
        <v>77</v>
      </c>
      <c r="C28">
        <v>44</v>
      </c>
    </row>
    <row r="29" spans="1:3" x14ac:dyDescent="0.45">
      <c r="A29" t="s">
        <v>575</v>
      </c>
      <c r="B29" t="s">
        <v>80</v>
      </c>
      <c r="C29">
        <v>18</v>
      </c>
    </row>
    <row r="30" spans="1:3" x14ac:dyDescent="0.45">
      <c r="A30" t="s">
        <v>576</v>
      </c>
      <c r="B30" t="s">
        <v>82</v>
      </c>
      <c r="C30">
        <v>93</v>
      </c>
    </row>
    <row r="31" spans="1:3" x14ac:dyDescent="0.45">
      <c r="A31" t="s">
        <v>577</v>
      </c>
      <c r="B31" t="s">
        <v>85</v>
      </c>
      <c r="C31">
        <v>66</v>
      </c>
    </row>
    <row r="32" spans="1:3" x14ac:dyDescent="0.45">
      <c r="A32" t="s">
        <v>578</v>
      </c>
      <c r="B32" t="s">
        <v>87</v>
      </c>
      <c r="C32">
        <v>99</v>
      </c>
    </row>
    <row r="33" spans="1:3" x14ac:dyDescent="0.45">
      <c r="A33" t="s">
        <v>579</v>
      </c>
      <c r="B33" t="s">
        <v>89</v>
      </c>
      <c r="C33">
        <v>64</v>
      </c>
    </row>
    <row r="34" spans="1:3" x14ac:dyDescent="0.45">
      <c r="A34" t="s">
        <v>580</v>
      </c>
      <c r="B34" t="s">
        <v>91</v>
      </c>
      <c r="C34">
        <v>53</v>
      </c>
    </row>
    <row r="35" spans="1:3" x14ac:dyDescent="0.45">
      <c r="A35" t="s">
        <v>581</v>
      </c>
      <c r="B35" t="s">
        <v>94</v>
      </c>
      <c r="C35">
        <v>68</v>
      </c>
    </row>
    <row r="36" spans="1:3" x14ac:dyDescent="0.45">
      <c r="A36" t="s">
        <v>582</v>
      </c>
      <c r="B36" t="s">
        <v>97</v>
      </c>
      <c r="C36">
        <v>77</v>
      </c>
    </row>
    <row r="37" spans="1:3" x14ac:dyDescent="0.45">
      <c r="A37" t="s">
        <v>583</v>
      </c>
      <c r="B37" t="s">
        <v>99</v>
      </c>
      <c r="C37">
        <v>43</v>
      </c>
    </row>
    <row r="38" spans="1:3" x14ac:dyDescent="0.45">
      <c r="A38" t="s">
        <v>584</v>
      </c>
      <c r="B38" t="s">
        <v>101</v>
      </c>
      <c r="C38">
        <v>17</v>
      </c>
    </row>
    <row r="39" spans="1:3" x14ac:dyDescent="0.45">
      <c r="A39" t="s">
        <v>585</v>
      </c>
      <c r="B39" t="s">
        <v>103</v>
      </c>
      <c r="C39">
        <v>92</v>
      </c>
    </row>
    <row r="40" spans="1:3" x14ac:dyDescent="0.45">
      <c r="A40" t="s">
        <v>586</v>
      </c>
      <c r="B40" t="s">
        <v>105</v>
      </c>
      <c r="C40">
        <v>55</v>
      </c>
    </row>
    <row r="41" spans="1:3" x14ac:dyDescent="0.45">
      <c r="A41" t="s">
        <v>587</v>
      </c>
      <c r="B41" t="s">
        <v>108</v>
      </c>
      <c r="C41">
        <v>9</v>
      </c>
    </row>
    <row r="42" spans="1:3" x14ac:dyDescent="0.45">
      <c r="A42" t="s">
        <v>588</v>
      </c>
      <c r="B42" t="s">
        <v>110</v>
      </c>
      <c r="C42">
        <v>50</v>
      </c>
    </row>
    <row r="43" spans="1:3" x14ac:dyDescent="0.45">
      <c r="A43" t="s">
        <v>589</v>
      </c>
      <c r="B43" t="s">
        <v>113</v>
      </c>
      <c r="C43">
        <v>74</v>
      </c>
    </row>
    <row r="44" spans="1:3" x14ac:dyDescent="0.45">
      <c r="A44" t="s">
        <v>590</v>
      </c>
      <c r="B44" t="s">
        <v>115</v>
      </c>
      <c r="C44">
        <v>24</v>
      </c>
    </row>
    <row r="45" spans="1:3" x14ac:dyDescent="0.45">
      <c r="A45" t="s">
        <v>591</v>
      </c>
      <c r="B45" t="s">
        <v>116</v>
      </c>
      <c r="C45">
        <v>30</v>
      </c>
    </row>
    <row r="46" spans="1:3" x14ac:dyDescent="0.45">
      <c r="A46" t="s">
        <v>592</v>
      </c>
      <c r="B46" t="s">
        <v>118</v>
      </c>
      <c r="C46">
        <v>60</v>
      </c>
    </row>
    <row r="47" spans="1:3" x14ac:dyDescent="0.45">
      <c r="A47" t="s">
        <v>593</v>
      </c>
      <c r="B47" t="s">
        <v>121</v>
      </c>
      <c r="C47">
        <v>95</v>
      </c>
    </row>
    <row r="48" spans="1:3" x14ac:dyDescent="0.45">
      <c r="A48" t="s">
        <v>594</v>
      </c>
      <c r="B48" t="s">
        <v>123</v>
      </c>
      <c r="C48">
        <v>56</v>
      </c>
    </row>
    <row r="49" spans="1:3" x14ac:dyDescent="0.45">
      <c r="A49" t="s">
        <v>595</v>
      </c>
      <c r="B49" t="s">
        <v>125</v>
      </c>
      <c r="C49">
        <v>42</v>
      </c>
    </row>
    <row r="50" spans="1:3" x14ac:dyDescent="0.45">
      <c r="A50" t="s">
        <v>596</v>
      </c>
      <c r="B50" t="s">
        <v>127</v>
      </c>
      <c r="C50">
        <v>34</v>
      </c>
    </row>
    <row r="51" spans="1:3" x14ac:dyDescent="0.45">
      <c r="A51" t="s">
        <v>597</v>
      </c>
      <c r="B51" t="s">
        <v>129</v>
      </c>
      <c r="C51">
        <v>26</v>
      </c>
    </row>
    <row r="52" spans="1:3" x14ac:dyDescent="0.45">
      <c r="A52" t="s">
        <v>598</v>
      </c>
      <c r="B52" t="s">
        <v>131</v>
      </c>
      <c r="C52">
        <v>94</v>
      </c>
    </row>
    <row r="53" spans="1:3" x14ac:dyDescent="0.45">
      <c r="A53" t="s">
        <v>599</v>
      </c>
      <c r="B53" t="s">
        <v>133</v>
      </c>
      <c r="C53">
        <v>9</v>
      </c>
    </row>
    <row r="54" spans="1:3" x14ac:dyDescent="0.45">
      <c r="A54" t="s">
        <v>600</v>
      </c>
      <c r="B54" t="s">
        <v>136</v>
      </c>
      <c r="C54">
        <v>56</v>
      </c>
    </row>
    <row r="55" spans="1:3" x14ac:dyDescent="0.45">
      <c r="A55" t="s">
        <v>601</v>
      </c>
      <c r="B55" t="s">
        <v>138</v>
      </c>
      <c r="C55">
        <v>6</v>
      </c>
    </row>
    <row r="56" spans="1:3" x14ac:dyDescent="0.45">
      <c r="A56" t="s">
        <v>602</v>
      </c>
      <c r="B56" t="s">
        <v>141</v>
      </c>
      <c r="C56">
        <v>45</v>
      </c>
    </row>
    <row r="57" spans="1:3" x14ac:dyDescent="0.45">
      <c r="A57" t="s">
        <v>603</v>
      </c>
      <c r="B57" t="s">
        <v>143</v>
      </c>
      <c r="C57">
        <v>66</v>
      </c>
    </row>
    <row r="58" spans="1:3" x14ac:dyDescent="0.45">
      <c r="A58" t="s">
        <v>604</v>
      </c>
      <c r="B58" t="s">
        <v>145</v>
      </c>
      <c r="C58">
        <v>52</v>
      </c>
    </row>
    <row r="59" spans="1:3" x14ac:dyDescent="0.45">
      <c r="A59" t="s">
        <v>605</v>
      </c>
      <c r="B59" t="s">
        <v>147</v>
      </c>
      <c r="C59">
        <v>79</v>
      </c>
    </row>
    <row r="60" spans="1:3" x14ac:dyDescent="0.45">
      <c r="A60" t="s">
        <v>606</v>
      </c>
      <c r="B60" t="s">
        <v>149</v>
      </c>
      <c r="C60">
        <v>75</v>
      </c>
    </row>
    <row r="61" spans="1:3" x14ac:dyDescent="0.45">
      <c r="A61" t="s">
        <v>607</v>
      </c>
      <c r="B61" t="s">
        <v>151</v>
      </c>
      <c r="C61">
        <v>98</v>
      </c>
    </row>
    <row r="62" spans="1:3" x14ac:dyDescent="0.45">
      <c r="A62" t="s">
        <v>608</v>
      </c>
      <c r="B62" t="s">
        <v>154</v>
      </c>
      <c r="C62">
        <v>63</v>
      </c>
    </row>
    <row r="63" spans="1:3" x14ac:dyDescent="0.45">
      <c r="A63" t="s">
        <v>609</v>
      </c>
      <c r="B63" t="s">
        <v>157</v>
      </c>
      <c r="C63">
        <v>53</v>
      </c>
    </row>
    <row r="64" spans="1:3" x14ac:dyDescent="0.45">
      <c r="A64" t="s">
        <v>610</v>
      </c>
      <c r="B64" t="s">
        <v>159</v>
      </c>
      <c r="C64">
        <v>94</v>
      </c>
    </row>
    <row r="65" spans="1:3" x14ac:dyDescent="0.45">
      <c r="A65" t="s">
        <v>611</v>
      </c>
      <c r="B65" t="s">
        <v>161</v>
      </c>
      <c r="C65">
        <v>81</v>
      </c>
    </row>
    <row r="66" spans="1:3" x14ac:dyDescent="0.45">
      <c r="A66" t="s">
        <v>612</v>
      </c>
      <c r="B66" t="s">
        <v>163</v>
      </c>
      <c r="C66">
        <v>100</v>
      </c>
    </row>
    <row r="67" spans="1:3" x14ac:dyDescent="0.45">
      <c r="A67" t="s">
        <v>613</v>
      </c>
      <c r="B67" t="s">
        <v>165</v>
      </c>
      <c r="C67">
        <v>18</v>
      </c>
    </row>
    <row r="68" spans="1:3" x14ac:dyDescent="0.45">
      <c r="A68" t="s">
        <v>614</v>
      </c>
      <c r="B68" t="s">
        <v>167</v>
      </c>
      <c r="C68">
        <v>52</v>
      </c>
    </row>
    <row r="69" spans="1:3" x14ac:dyDescent="0.45">
      <c r="A69" t="s">
        <v>615</v>
      </c>
      <c r="B69" t="s">
        <v>169</v>
      </c>
      <c r="C69">
        <v>9</v>
      </c>
    </row>
    <row r="70" spans="1:3" x14ac:dyDescent="0.45">
      <c r="A70" t="s">
        <v>616</v>
      </c>
      <c r="B70" t="s">
        <v>171</v>
      </c>
      <c r="C70">
        <v>61</v>
      </c>
    </row>
    <row r="71" spans="1:3" x14ac:dyDescent="0.45">
      <c r="A71" t="s">
        <v>617</v>
      </c>
      <c r="B71" t="s">
        <v>174</v>
      </c>
      <c r="C71">
        <v>60</v>
      </c>
    </row>
    <row r="72" spans="1:3" x14ac:dyDescent="0.45">
      <c r="A72" t="s">
        <v>618</v>
      </c>
      <c r="B72" t="s">
        <v>175</v>
      </c>
      <c r="C72">
        <v>74</v>
      </c>
    </row>
    <row r="73" spans="1:3" x14ac:dyDescent="0.45">
      <c r="A73" t="s">
        <v>619</v>
      </c>
      <c r="B73" t="s">
        <v>177</v>
      </c>
      <c r="C73">
        <v>63</v>
      </c>
    </row>
    <row r="74" spans="1:3" x14ac:dyDescent="0.45">
      <c r="A74" t="s">
        <v>620</v>
      </c>
      <c r="B74" t="s">
        <v>180</v>
      </c>
      <c r="C74">
        <v>39</v>
      </c>
    </row>
    <row r="75" spans="1:3" x14ac:dyDescent="0.45">
      <c r="A75" t="s">
        <v>621</v>
      </c>
      <c r="B75" t="s">
        <v>182</v>
      </c>
      <c r="C75">
        <v>55</v>
      </c>
    </row>
    <row r="76" spans="1:3" x14ac:dyDescent="0.45">
      <c r="A76" t="s">
        <v>622</v>
      </c>
      <c r="B76" t="s">
        <v>183</v>
      </c>
      <c r="C76">
        <v>22</v>
      </c>
    </row>
    <row r="77" spans="1:3" x14ac:dyDescent="0.45">
      <c r="A77" t="s">
        <v>623</v>
      </c>
      <c r="B77" t="s">
        <v>185</v>
      </c>
      <c r="C77">
        <v>64</v>
      </c>
    </row>
    <row r="78" spans="1:3" x14ac:dyDescent="0.45">
      <c r="A78" t="s">
        <v>624</v>
      </c>
      <c r="B78" t="s">
        <v>188</v>
      </c>
      <c r="C78">
        <v>12</v>
      </c>
    </row>
    <row r="79" spans="1:3" x14ac:dyDescent="0.45">
      <c r="A79" t="s">
        <v>625</v>
      </c>
      <c r="B79" t="s">
        <v>190</v>
      </c>
      <c r="C79">
        <v>92</v>
      </c>
    </row>
    <row r="80" spans="1:3" x14ac:dyDescent="0.45">
      <c r="A80" t="s">
        <v>626</v>
      </c>
      <c r="B80" t="s">
        <v>193</v>
      </c>
      <c r="C80">
        <v>62</v>
      </c>
    </row>
    <row r="81" spans="1:3" x14ac:dyDescent="0.45">
      <c r="A81" t="s">
        <v>627</v>
      </c>
      <c r="B81" t="s">
        <v>195</v>
      </c>
      <c r="C81">
        <v>42</v>
      </c>
    </row>
    <row r="82" spans="1:3" x14ac:dyDescent="0.45">
      <c r="A82" t="s">
        <v>628</v>
      </c>
      <c r="B82" t="s">
        <v>197</v>
      </c>
      <c r="C82">
        <v>38</v>
      </c>
    </row>
    <row r="83" spans="1:3" x14ac:dyDescent="0.45">
      <c r="A83" t="s">
        <v>629</v>
      </c>
      <c r="B83" t="s">
        <v>198</v>
      </c>
      <c r="C83">
        <v>81</v>
      </c>
    </row>
    <row r="84" spans="1:3" x14ac:dyDescent="0.45">
      <c r="A84" t="s">
        <v>630</v>
      </c>
      <c r="B84" t="s">
        <v>199</v>
      </c>
      <c r="C84">
        <v>57</v>
      </c>
    </row>
    <row r="85" spans="1:3" x14ac:dyDescent="0.45">
      <c r="A85" t="s">
        <v>631</v>
      </c>
      <c r="B85" t="s">
        <v>201</v>
      </c>
      <c r="C85">
        <v>20</v>
      </c>
    </row>
    <row r="86" spans="1:3" x14ac:dyDescent="0.45">
      <c r="A86" t="s">
        <v>632</v>
      </c>
      <c r="B86" t="s">
        <v>203</v>
      </c>
      <c r="C86">
        <v>53</v>
      </c>
    </row>
    <row r="87" spans="1:3" x14ac:dyDescent="0.45">
      <c r="A87" t="s">
        <v>633</v>
      </c>
      <c r="B87" t="s">
        <v>205</v>
      </c>
      <c r="C87">
        <v>34</v>
      </c>
    </row>
    <row r="88" spans="1:3" x14ac:dyDescent="0.45">
      <c r="A88" t="s">
        <v>634</v>
      </c>
      <c r="B88" t="s">
        <v>207</v>
      </c>
      <c r="C88">
        <v>21</v>
      </c>
    </row>
    <row r="89" spans="1:3" x14ac:dyDescent="0.45">
      <c r="A89" t="s">
        <v>635</v>
      </c>
      <c r="B89" t="s">
        <v>209</v>
      </c>
      <c r="C89">
        <v>56</v>
      </c>
    </row>
    <row r="90" spans="1:3" x14ac:dyDescent="0.45">
      <c r="A90" t="s">
        <v>636</v>
      </c>
      <c r="B90" t="s">
        <v>210</v>
      </c>
      <c r="C90">
        <v>83</v>
      </c>
    </row>
    <row r="91" spans="1:3" x14ac:dyDescent="0.45">
      <c r="A91" t="s">
        <v>637</v>
      </c>
      <c r="B91" t="s">
        <v>211</v>
      </c>
      <c r="C91">
        <v>54</v>
      </c>
    </row>
    <row r="92" spans="1:3" x14ac:dyDescent="0.45">
      <c r="A92" t="s">
        <v>638</v>
      </c>
      <c r="B92" t="s">
        <v>213</v>
      </c>
      <c r="C92">
        <v>13</v>
      </c>
    </row>
    <row r="93" spans="1:3" x14ac:dyDescent="0.45">
      <c r="A93" t="s">
        <v>639</v>
      </c>
      <c r="B93" t="s">
        <v>215</v>
      </c>
      <c r="C93">
        <v>55</v>
      </c>
    </row>
    <row r="94" spans="1:3" x14ac:dyDescent="0.45">
      <c r="A94" t="s">
        <v>640</v>
      </c>
      <c r="B94" t="s">
        <v>217</v>
      </c>
      <c r="C94">
        <v>16</v>
      </c>
    </row>
    <row r="95" spans="1:3" x14ac:dyDescent="0.45">
      <c r="A95" t="s">
        <v>641</v>
      </c>
      <c r="B95" t="s">
        <v>219</v>
      </c>
      <c r="C95">
        <v>94</v>
      </c>
    </row>
    <row r="96" spans="1:3" x14ac:dyDescent="0.45">
      <c r="A96" t="s">
        <v>642</v>
      </c>
      <c r="B96" t="s">
        <v>221</v>
      </c>
      <c r="C96">
        <v>18</v>
      </c>
    </row>
    <row r="97" spans="1:3" x14ac:dyDescent="0.45">
      <c r="A97" t="s">
        <v>643</v>
      </c>
      <c r="B97" t="s">
        <v>223</v>
      </c>
      <c r="C97">
        <v>84</v>
      </c>
    </row>
    <row r="98" spans="1:3" x14ac:dyDescent="0.45">
      <c r="A98" t="s">
        <v>644</v>
      </c>
      <c r="B98" t="s">
        <v>224</v>
      </c>
      <c r="C98">
        <v>10</v>
      </c>
    </row>
    <row r="99" spans="1:3" x14ac:dyDescent="0.45">
      <c r="A99" t="s">
        <v>645</v>
      </c>
      <c r="B99" t="s">
        <v>227</v>
      </c>
      <c r="C99">
        <v>60</v>
      </c>
    </row>
    <row r="100" spans="1:3" x14ac:dyDescent="0.45">
      <c r="A100" t="s">
        <v>646</v>
      </c>
      <c r="B100" t="s">
        <v>228</v>
      </c>
      <c r="C100">
        <v>77</v>
      </c>
    </row>
    <row r="101" spans="1:3" x14ac:dyDescent="0.45">
      <c r="A101" t="s">
        <v>647</v>
      </c>
      <c r="B101" t="s">
        <v>231</v>
      </c>
      <c r="C101">
        <v>61</v>
      </c>
    </row>
    <row r="102" spans="1:3" x14ac:dyDescent="0.45">
      <c r="A102" t="s">
        <v>648</v>
      </c>
      <c r="B102" t="s">
        <v>233</v>
      </c>
      <c r="C102">
        <v>79</v>
      </c>
    </row>
    <row r="103" spans="1:3" x14ac:dyDescent="0.45">
      <c r="A103" t="s">
        <v>649</v>
      </c>
      <c r="B103" t="s">
        <v>234</v>
      </c>
      <c r="C103">
        <v>56</v>
      </c>
    </row>
    <row r="104" spans="1:3" x14ac:dyDescent="0.45">
      <c r="A104" t="s">
        <v>650</v>
      </c>
      <c r="B104" t="s">
        <v>236</v>
      </c>
      <c r="C104">
        <v>24</v>
      </c>
    </row>
    <row r="105" spans="1:3" x14ac:dyDescent="0.45">
      <c r="A105" t="s">
        <v>651</v>
      </c>
      <c r="B105" t="s">
        <v>238</v>
      </c>
      <c r="C105">
        <v>30</v>
      </c>
    </row>
    <row r="106" spans="1:3" x14ac:dyDescent="0.45">
      <c r="A106" t="s">
        <v>652</v>
      </c>
      <c r="B106" t="s">
        <v>240</v>
      </c>
      <c r="C106">
        <v>70</v>
      </c>
    </row>
    <row r="107" spans="1:3" x14ac:dyDescent="0.45">
      <c r="A107" t="s">
        <v>653</v>
      </c>
      <c r="B107" t="s">
        <v>242</v>
      </c>
      <c r="C107">
        <v>88</v>
      </c>
    </row>
    <row r="108" spans="1:3" x14ac:dyDescent="0.45">
      <c r="A108" t="s">
        <v>654</v>
      </c>
      <c r="B108" t="s">
        <v>244</v>
      </c>
      <c r="C108">
        <v>48</v>
      </c>
    </row>
    <row r="109" spans="1:3" x14ac:dyDescent="0.45">
      <c r="A109" t="s">
        <v>655</v>
      </c>
      <c r="B109" t="s">
        <v>246</v>
      </c>
      <c r="C109">
        <v>51</v>
      </c>
    </row>
    <row r="110" spans="1:3" x14ac:dyDescent="0.45">
      <c r="A110" t="s">
        <v>656</v>
      </c>
      <c r="B110" t="s">
        <v>247</v>
      </c>
      <c r="C110">
        <v>58</v>
      </c>
    </row>
    <row r="111" spans="1:3" x14ac:dyDescent="0.45">
      <c r="A111" t="s">
        <v>657</v>
      </c>
      <c r="B111" t="s">
        <v>248</v>
      </c>
      <c r="C111">
        <v>36</v>
      </c>
    </row>
    <row r="112" spans="1:3" x14ac:dyDescent="0.45">
      <c r="A112" t="s">
        <v>658</v>
      </c>
      <c r="B112" t="s">
        <v>250</v>
      </c>
      <c r="C112">
        <v>96</v>
      </c>
    </row>
    <row r="113" spans="1:3" x14ac:dyDescent="0.45">
      <c r="A113" t="s">
        <v>659</v>
      </c>
      <c r="B113" t="s">
        <v>251</v>
      </c>
      <c r="C113">
        <v>52</v>
      </c>
    </row>
    <row r="114" spans="1:3" x14ac:dyDescent="0.45">
      <c r="A114" t="s">
        <v>660</v>
      </c>
      <c r="B114" t="s">
        <v>253</v>
      </c>
      <c r="C114">
        <v>35</v>
      </c>
    </row>
    <row r="115" spans="1:3" x14ac:dyDescent="0.45">
      <c r="A115" t="s">
        <v>661</v>
      </c>
      <c r="B115" t="s">
        <v>255</v>
      </c>
      <c r="C115">
        <v>56</v>
      </c>
    </row>
    <row r="116" spans="1:3" x14ac:dyDescent="0.45">
      <c r="A116" t="s">
        <v>662</v>
      </c>
      <c r="B116" t="s">
        <v>256</v>
      </c>
      <c r="C116">
        <v>91</v>
      </c>
    </row>
    <row r="117" spans="1:3" x14ac:dyDescent="0.45">
      <c r="A117" t="s">
        <v>663</v>
      </c>
      <c r="B117" t="s">
        <v>258</v>
      </c>
      <c r="C117">
        <v>87</v>
      </c>
    </row>
    <row r="118" spans="1:3" x14ac:dyDescent="0.45">
      <c r="A118" t="s">
        <v>664</v>
      </c>
      <c r="B118" t="s">
        <v>260</v>
      </c>
      <c r="C118">
        <v>69</v>
      </c>
    </row>
    <row r="119" spans="1:3" x14ac:dyDescent="0.45">
      <c r="A119" t="s">
        <v>665</v>
      </c>
      <c r="B119" t="s">
        <v>262</v>
      </c>
      <c r="C119">
        <v>79</v>
      </c>
    </row>
    <row r="120" spans="1:3" x14ac:dyDescent="0.45">
      <c r="A120" t="s">
        <v>666</v>
      </c>
      <c r="B120" t="s">
        <v>263</v>
      </c>
      <c r="C120">
        <v>86</v>
      </c>
    </row>
    <row r="121" spans="1:3" x14ac:dyDescent="0.45">
      <c r="A121" t="s">
        <v>667</v>
      </c>
      <c r="B121" t="s">
        <v>265</v>
      </c>
      <c r="C121">
        <v>88</v>
      </c>
    </row>
    <row r="122" spans="1:3" x14ac:dyDescent="0.45">
      <c r="A122" t="s">
        <v>668</v>
      </c>
      <c r="B122" t="s">
        <v>267</v>
      </c>
      <c r="C122">
        <v>22</v>
      </c>
    </row>
    <row r="123" spans="1:3" x14ac:dyDescent="0.45">
      <c r="A123" t="s">
        <v>669</v>
      </c>
      <c r="B123" t="s">
        <v>268</v>
      </c>
      <c r="C123">
        <v>69</v>
      </c>
    </row>
    <row r="124" spans="1:3" x14ac:dyDescent="0.45">
      <c r="A124" t="s">
        <v>670</v>
      </c>
      <c r="B124" t="s">
        <v>269</v>
      </c>
      <c r="C124">
        <v>42</v>
      </c>
    </row>
    <row r="125" spans="1:3" x14ac:dyDescent="0.45">
      <c r="A125" t="s">
        <v>671</v>
      </c>
      <c r="B125" t="s">
        <v>270</v>
      </c>
      <c r="C125">
        <v>63</v>
      </c>
    </row>
    <row r="126" spans="1:3" x14ac:dyDescent="0.45">
      <c r="A126" t="s">
        <v>672</v>
      </c>
      <c r="B126" t="s">
        <v>272</v>
      </c>
      <c r="C126">
        <v>64</v>
      </c>
    </row>
    <row r="127" spans="1:3" x14ac:dyDescent="0.45">
      <c r="A127" t="s">
        <v>673</v>
      </c>
      <c r="B127" t="s">
        <v>273</v>
      </c>
      <c r="C127">
        <v>16</v>
      </c>
    </row>
    <row r="128" spans="1:3" x14ac:dyDescent="0.45">
      <c r="A128" t="s">
        <v>674</v>
      </c>
      <c r="B128" t="s">
        <v>275</v>
      </c>
      <c r="C128">
        <v>32</v>
      </c>
    </row>
    <row r="129" spans="1:3" x14ac:dyDescent="0.45">
      <c r="A129" t="s">
        <v>675</v>
      </c>
      <c r="B129" t="s">
        <v>276</v>
      </c>
      <c r="C129">
        <v>24</v>
      </c>
    </row>
    <row r="130" spans="1:3" x14ac:dyDescent="0.45">
      <c r="A130" t="s">
        <v>676</v>
      </c>
      <c r="B130" t="s">
        <v>277</v>
      </c>
      <c r="C130">
        <v>20</v>
      </c>
    </row>
    <row r="131" spans="1:3" x14ac:dyDescent="0.45">
      <c r="A131" t="s">
        <v>677</v>
      </c>
      <c r="B131" t="s">
        <v>279</v>
      </c>
      <c r="C131">
        <v>8</v>
      </c>
    </row>
    <row r="132" spans="1:3" x14ac:dyDescent="0.45">
      <c r="A132" t="s">
        <v>678</v>
      </c>
      <c r="B132" t="s">
        <v>280</v>
      </c>
      <c r="C132">
        <v>50</v>
      </c>
    </row>
    <row r="133" spans="1:3" x14ac:dyDescent="0.45">
      <c r="A133" t="s">
        <v>679</v>
      </c>
      <c r="B133" t="s">
        <v>282</v>
      </c>
      <c r="C133">
        <v>9</v>
      </c>
    </row>
    <row r="134" spans="1:3" x14ac:dyDescent="0.45">
      <c r="A134" t="s">
        <v>680</v>
      </c>
      <c r="B134" t="s">
        <v>283</v>
      </c>
      <c r="C134">
        <v>74</v>
      </c>
    </row>
    <row r="135" spans="1:3" x14ac:dyDescent="0.45">
      <c r="A135" t="s">
        <v>681</v>
      </c>
      <c r="B135" t="s">
        <v>284</v>
      </c>
      <c r="C135">
        <v>61</v>
      </c>
    </row>
    <row r="136" spans="1:3" x14ac:dyDescent="0.45">
      <c r="A136" t="s">
        <v>682</v>
      </c>
      <c r="B136" t="s">
        <v>286</v>
      </c>
      <c r="C136">
        <v>41</v>
      </c>
    </row>
    <row r="137" spans="1:3" x14ac:dyDescent="0.45">
      <c r="A137" t="s">
        <v>683</v>
      </c>
      <c r="B137" t="s">
        <v>287</v>
      </c>
      <c r="C137">
        <v>19</v>
      </c>
    </row>
    <row r="138" spans="1:3" x14ac:dyDescent="0.45">
      <c r="A138" t="s">
        <v>684</v>
      </c>
      <c r="B138" t="s">
        <v>289</v>
      </c>
      <c r="C138">
        <v>79</v>
      </c>
    </row>
    <row r="139" spans="1:3" x14ac:dyDescent="0.45">
      <c r="A139" t="s">
        <v>685</v>
      </c>
      <c r="B139" t="s">
        <v>290</v>
      </c>
      <c r="C139">
        <v>43</v>
      </c>
    </row>
    <row r="140" spans="1:3" x14ac:dyDescent="0.45">
      <c r="A140" t="s">
        <v>686</v>
      </c>
      <c r="B140" t="s">
        <v>292</v>
      </c>
      <c r="C140">
        <v>20</v>
      </c>
    </row>
    <row r="141" spans="1:3" x14ac:dyDescent="0.45">
      <c r="A141" t="s">
        <v>687</v>
      </c>
      <c r="B141" t="s">
        <v>294</v>
      </c>
      <c r="C141">
        <v>97</v>
      </c>
    </row>
    <row r="142" spans="1:3" x14ac:dyDescent="0.45">
      <c r="A142" t="s">
        <v>688</v>
      </c>
      <c r="B142" t="s">
        <v>296</v>
      </c>
      <c r="C142">
        <v>82</v>
      </c>
    </row>
    <row r="143" spans="1:3" x14ac:dyDescent="0.45">
      <c r="A143" t="s">
        <v>689</v>
      </c>
      <c r="B143" t="s">
        <v>297</v>
      </c>
      <c r="C143">
        <v>82</v>
      </c>
    </row>
    <row r="144" spans="1:3" x14ac:dyDescent="0.45">
      <c r="A144" t="s">
        <v>690</v>
      </c>
      <c r="B144" t="s">
        <v>299</v>
      </c>
      <c r="C144">
        <v>51</v>
      </c>
    </row>
    <row r="145" spans="1:3" x14ac:dyDescent="0.45">
      <c r="A145" t="s">
        <v>691</v>
      </c>
      <c r="B145" t="s">
        <v>302</v>
      </c>
      <c r="C145">
        <v>74</v>
      </c>
    </row>
    <row r="146" spans="1:3" x14ac:dyDescent="0.45">
      <c r="A146" t="s">
        <v>692</v>
      </c>
      <c r="B146" t="s">
        <v>303</v>
      </c>
      <c r="C146">
        <v>57</v>
      </c>
    </row>
    <row r="147" spans="1:3" x14ac:dyDescent="0.45">
      <c r="A147" t="s">
        <v>693</v>
      </c>
      <c r="B147" t="s">
        <v>304</v>
      </c>
      <c r="C147">
        <v>78</v>
      </c>
    </row>
    <row r="148" spans="1:3" x14ac:dyDescent="0.45">
      <c r="A148" t="s">
        <v>694</v>
      </c>
      <c r="B148" t="s">
        <v>305</v>
      </c>
      <c r="C148">
        <v>96</v>
      </c>
    </row>
    <row r="149" spans="1:3" x14ac:dyDescent="0.45">
      <c r="A149" t="s">
        <v>695</v>
      </c>
      <c r="B149" t="s">
        <v>308</v>
      </c>
      <c r="C149">
        <v>52</v>
      </c>
    </row>
    <row r="150" spans="1:3" x14ac:dyDescent="0.45">
      <c r="A150" t="s">
        <v>696</v>
      </c>
      <c r="B150" t="s">
        <v>310</v>
      </c>
      <c r="C150">
        <v>29</v>
      </c>
    </row>
    <row r="151" spans="1:3" x14ac:dyDescent="0.45">
      <c r="A151" t="s">
        <v>697</v>
      </c>
      <c r="B151" t="s">
        <v>311</v>
      </c>
      <c r="C151">
        <v>83</v>
      </c>
    </row>
    <row r="152" spans="1:3" x14ac:dyDescent="0.45">
      <c r="A152" t="s">
        <v>698</v>
      </c>
      <c r="B152" t="s">
        <v>313</v>
      </c>
      <c r="C152">
        <v>80</v>
      </c>
    </row>
    <row r="153" spans="1:3" x14ac:dyDescent="0.45">
      <c r="A153" t="s">
        <v>699</v>
      </c>
      <c r="B153" t="s">
        <v>315</v>
      </c>
      <c r="C153">
        <v>32</v>
      </c>
    </row>
    <row r="154" spans="1:3" x14ac:dyDescent="0.45">
      <c r="A154" t="s">
        <v>700</v>
      </c>
      <c r="B154" t="s">
        <v>316</v>
      </c>
      <c r="C154">
        <v>18</v>
      </c>
    </row>
    <row r="155" spans="1:3" x14ac:dyDescent="0.45">
      <c r="A155" t="s">
        <v>701</v>
      </c>
      <c r="B155" t="s">
        <v>318</v>
      </c>
      <c r="C155">
        <v>53</v>
      </c>
    </row>
    <row r="156" spans="1:3" x14ac:dyDescent="0.45">
      <c r="A156" t="s">
        <v>702</v>
      </c>
      <c r="B156" t="s">
        <v>319</v>
      </c>
      <c r="C156">
        <v>55</v>
      </c>
    </row>
    <row r="157" spans="1:3" x14ac:dyDescent="0.45">
      <c r="A157" t="s">
        <v>703</v>
      </c>
      <c r="B157" t="s">
        <v>321</v>
      </c>
      <c r="C157">
        <v>82</v>
      </c>
    </row>
    <row r="158" spans="1:3" x14ac:dyDescent="0.45">
      <c r="A158" t="s">
        <v>704</v>
      </c>
      <c r="B158" t="s">
        <v>323</v>
      </c>
      <c r="C158">
        <v>87</v>
      </c>
    </row>
    <row r="159" spans="1:3" x14ac:dyDescent="0.45">
      <c r="A159" t="s">
        <v>705</v>
      </c>
      <c r="B159" t="s">
        <v>324</v>
      </c>
      <c r="C159">
        <v>92</v>
      </c>
    </row>
    <row r="160" spans="1:3" x14ac:dyDescent="0.45">
      <c r="A160" t="s">
        <v>706</v>
      </c>
      <c r="B160" t="s">
        <v>326</v>
      </c>
      <c r="C160">
        <v>13</v>
      </c>
    </row>
    <row r="161" spans="1:3" x14ac:dyDescent="0.45">
      <c r="A161" t="s">
        <v>707</v>
      </c>
      <c r="B161" t="s">
        <v>328</v>
      </c>
      <c r="C161">
        <v>21</v>
      </c>
    </row>
    <row r="162" spans="1:3" x14ac:dyDescent="0.45">
      <c r="A162" t="s">
        <v>708</v>
      </c>
      <c r="B162" t="s">
        <v>330</v>
      </c>
      <c r="C162">
        <v>42</v>
      </c>
    </row>
    <row r="163" spans="1:3" x14ac:dyDescent="0.45">
      <c r="A163" t="s">
        <v>709</v>
      </c>
      <c r="B163" t="s">
        <v>332</v>
      </c>
      <c r="C163">
        <v>8</v>
      </c>
    </row>
    <row r="164" spans="1:3" x14ac:dyDescent="0.45">
      <c r="A164" t="s">
        <v>710</v>
      </c>
      <c r="B164" t="s">
        <v>334</v>
      </c>
      <c r="C164">
        <v>97</v>
      </c>
    </row>
    <row r="165" spans="1:3" x14ac:dyDescent="0.45">
      <c r="A165" t="s">
        <v>711</v>
      </c>
      <c r="B165" t="s">
        <v>336</v>
      </c>
      <c r="C165">
        <v>67</v>
      </c>
    </row>
    <row r="166" spans="1:3" x14ac:dyDescent="0.45">
      <c r="A166" t="s">
        <v>712</v>
      </c>
      <c r="B166" t="s">
        <v>338</v>
      </c>
      <c r="C166">
        <v>82</v>
      </c>
    </row>
    <row r="167" spans="1:3" x14ac:dyDescent="0.45">
      <c r="A167" t="s">
        <v>713</v>
      </c>
      <c r="B167" t="s">
        <v>339</v>
      </c>
      <c r="C167">
        <v>44</v>
      </c>
    </row>
    <row r="168" spans="1:3" x14ac:dyDescent="0.45">
      <c r="A168" t="s">
        <v>714</v>
      </c>
      <c r="B168" t="s">
        <v>340</v>
      </c>
      <c r="C168">
        <v>9</v>
      </c>
    </row>
    <row r="169" spans="1:3" x14ac:dyDescent="0.45">
      <c r="A169" t="s">
        <v>715</v>
      </c>
      <c r="B169" t="s">
        <v>341</v>
      </c>
      <c r="C169">
        <v>77</v>
      </c>
    </row>
    <row r="170" spans="1:3" x14ac:dyDescent="0.45">
      <c r="A170" t="s">
        <v>716</v>
      </c>
      <c r="B170" t="s">
        <v>342</v>
      </c>
      <c r="C170">
        <v>35</v>
      </c>
    </row>
    <row r="171" spans="1:3" x14ac:dyDescent="0.45">
      <c r="A171" t="s">
        <v>717</v>
      </c>
      <c r="B171" t="s">
        <v>344</v>
      </c>
      <c r="C171">
        <v>6</v>
      </c>
    </row>
    <row r="172" spans="1:3" x14ac:dyDescent="0.45">
      <c r="A172" t="s">
        <v>718</v>
      </c>
      <c r="B172" t="s">
        <v>346</v>
      </c>
      <c r="C172">
        <v>21</v>
      </c>
    </row>
    <row r="173" spans="1:3" x14ac:dyDescent="0.45">
      <c r="A173" t="s">
        <v>719</v>
      </c>
      <c r="B173" t="s">
        <v>347</v>
      </c>
      <c r="C173">
        <v>13</v>
      </c>
    </row>
    <row r="174" spans="1:3" x14ac:dyDescent="0.45">
      <c r="A174" t="s">
        <v>720</v>
      </c>
      <c r="B174" t="s">
        <v>349</v>
      </c>
      <c r="C174">
        <v>12</v>
      </c>
    </row>
    <row r="175" spans="1:3" x14ac:dyDescent="0.45">
      <c r="A175" t="s">
        <v>721</v>
      </c>
      <c r="B175" t="s">
        <v>350</v>
      </c>
      <c r="C175">
        <v>4</v>
      </c>
    </row>
    <row r="176" spans="1:3" x14ac:dyDescent="0.45">
      <c r="A176" t="s">
        <v>722</v>
      </c>
      <c r="B176" t="s">
        <v>351</v>
      </c>
      <c r="C176">
        <v>80</v>
      </c>
    </row>
    <row r="177" spans="1:3" x14ac:dyDescent="0.45">
      <c r="A177" t="s">
        <v>723</v>
      </c>
      <c r="B177" t="s">
        <v>353</v>
      </c>
      <c r="C177">
        <v>12</v>
      </c>
    </row>
    <row r="178" spans="1:3" x14ac:dyDescent="0.45">
      <c r="A178" t="s">
        <v>724</v>
      </c>
      <c r="B178" t="s">
        <v>355</v>
      </c>
      <c r="C178">
        <v>50</v>
      </c>
    </row>
    <row r="179" spans="1:3" x14ac:dyDescent="0.45">
      <c r="A179" t="s">
        <v>725</v>
      </c>
      <c r="B179" t="s">
        <v>356</v>
      </c>
      <c r="C179">
        <v>77</v>
      </c>
    </row>
    <row r="180" spans="1:3" x14ac:dyDescent="0.45">
      <c r="A180" t="s">
        <v>726</v>
      </c>
      <c r="B180" t="s">
        <v>358</v>
      </c>
      <c r="C180">
        <v>45</v>
      </c>
    </row>
    <row r="181" spans="1:3" x14ac:dyDescent="0.45">
      <c r="A181" t="s">
        <v>727</v>
      </c>
      <c r="B181" t="s">
        <v>361</v>
      </c>
      <c r="C181">
        <v>85</v>
      </c>
    </row>
    <row r="182" spans="1:3" x14ac:dyDescent="0.45">
      <c r="A182" t="s">
        <v>728</v>
      </c>
      <c r="B182" t="s">
        <v>362</v>
      </c>
      <c r="C182">
        <v>32</v>
      </c>
    </row>
    <row r="183" spans="1:3" x14ac:dyDescent="0.45">
      <c r="A183" t="s">
        <v>729</v>
      </c>
      <c r="B183" t="s">
        <v>363</v>
      </c>
      <c r="C183">
        <v>19</v>
      </c>
    </row>
    <row r="184" spans="1:3" x14ac:dyDescent="0.45">
      <c r="A184" t="s">
        <v>730</v>
      </c>
      <c r="B184" t="s">
        <v>364</v>
      </c>
      <c r="C184">
        <v>94</v>
      </c>
    </row>
    <row r="185" spans="1:3" x14ac:dyDescent="0.45">
      <c r="A185" t="s">
        <v>731</v>
      </c>
      <c r="B185" t="s">
        <v>366</v>
      </c>
      <c r="C185">
        <v>63</v>
      </c>
    </row>
    <row r="186" spans="1:3" x14ac:dyDescent="0.45">
      <c r="A186" t="s">
        <v>732</v>
      </c>
      <c r="B186" t="s">
        <v>368</v>
      </c>
      <c r="C186">
        <v>96</v>
      </c>
    </row>
    <row r="187" spans="1:3" x14ac:dyDescent="0.45">
      <c r="A187" t="s">
        <v>733</v>
      </c>
      <c r="B187" t="s">
        <v>369</v>
      </c>
      <c r="C187">
        <v>87</v>
      </c>
    </row>
    <row r="188" spans="1:3" x14ac:dyDescent="0.45">
      <c r="A188" t="s">
        <v>734</v>
      </c>
      <c r="B188" t="s">
        <v>370</v>
      </c>
      <c r="C188">
        <v>11</v>
      </c>
    </row>
    <row r="189" spans="1:3" x14ac:dyDescent="0.45">
      <c r="A189" t="s">
        <v>735</v>
      </c>
      <c r="B189" t="s">
        <v>372</v>
      </c>
      <c r="C189">
        <v>29</v>
      </c>
    </row>
    <row r="190" spans="1:3" x14ac:dyDescent="0.45">
      <c r="A190" t="s">
        <v>736</v>
      </c>
      <c r="B190" t="s">
        <v>374</v>
      </c>
      <c r="C190">
        <v>39</v>
      </c>
    </row>
    <row r="191" spans="1:3" x14ac:dyDescent="0.45">
      <c r="A191" t="s">
        <v>737</v>
      </c>
      <c r="B191" t="s">
        <v>375</v>
      </c>
      <c r="C191">
        <v>86</v>
      </c>
    </row>
    <row r="192" spans="1:3" x14ac:dyDescent="0.45">
      <c r="A192" t="s">
        <v>738</v>
      </c>
      <c r="B192" t="s">
        <v>377</v>
      </c>
      <c r="C192">
        <v>19</v>
      </c>
    </row>
    <row r="193" spans="1:3" x14ac:dyDescent="0.45">
      <c r="A193" t="s">
        <v>739</v>
      </c>
      <c r="B193" t="s">
        <v>379</v>
      </c>
      <c r="C193">
        <v>21</v>
      </c>
    </row>
    <row r="194" spans="1:3" x14ac:dyDescent="0.45">
      <c r="A194" t="s">
        <v>740</v>
      </c>
      <c r="B194" t="s">
        <v>380</v>
      </c>
      <c r="C194">
        <v>91</v>
      </c>
    </row>
    <row r="195" spans="1:3" x14ac:dyDescent="0.45">
      <c r="A195" t="s">
        <v>741</v>
      </c>
      <c r="B195" t="s">
        <v>382</v>
      </c>
      <c r="C195">
        <v>16</v>
      </c>
    </row>
    <row r="196" spans="1:3" x14ac:dyDescent="0.45">
      <c r="A196" t="s">
        <v>742</v>
      </c>
      <c r="B196" t="s">
        <v>383</v>
      </c>
      <c r="C196">
        <v>9</v>
      </c>
    </row>
    <row r="197" spans="1:3" x14ac:dyDescent="0.45">
      <c r="A197" t="s">
        <v>743</v>
      </c>
      <c r="B197" t="s">
        <v>385</v>
      </c>
      <c r="C197">
        <v>95</v>
      </c>
    </row>
    <row r="198" spans="1:3" x14ac:dyDescent="0.45">
      <c r="A198" t="s">
        <v>744</v>
      </c>
      <c r="B198" t="s">
        <v>387</v>
      </c>
      <c r="C198">
        <v>76</v>
      </c>
    </row>
    <row r="199" spans="1:3" x14ac:dyDescent="0.45">
      <c r="A199" t="s">
        <v>745</v>
      </c>
      <c r="B199" t="s">
        <v>388</v>
      </c>
      <c r="C199">
        <v>26</v>
      </c>
    </row>
    <row r="200" spans="1:3" x14ac:dyDescent="0.45">
      <c r="A200" t="s">
        <v>746</v>
      </c>
      <c r="B200" t="s">
        <v>389</v>
      </c>
      <c r="C200">
        <v>94</v>
      </c>
    </row>
    <row r="201" spans="1:3" x14ac:dyDescent="0.45">
      <c r="A201" t="s">
        <v>747</v>
      </c>
      <c r="B201" t="s">
        <v>391</v>
      </c>
      <c r="C201">
        <v>27</v>
      </c>
    </row>
    <row r="202" spans="1:3" x14ac:dyDescent="0.45">
      <c r="A202" t="s">
        <v>748</v>
      </c>
      <c r="B202" t="s">
        <v>392</v>
      </c>
      <c r="C202">
        <v>89</v>
      </c>
    </row>
    <row r="203" spans="1:3" x14ac:dyDescent="0.45">
      <c r="A203" t="s">
        <v>749</v>
      </c>
      <c r="B203" t="s">
        <v>394</v>
      </c>
      <c r="C203">
        <v>34</v>
      </c>
    </row>
    <row r="204" spans="1:3" x14ac:dyDescent="0.45">
      <c r="A204" t="s">
        <v>750</v>
      </c>
      <c r="B204" t="s">
        <v>396</v>
      </c>
      <c r="C204">
        <v>10</v>
      </c>
    </row>
    <row r="205" spans="1:3" x14ac:dyDescent="0.45">
      <c r="A205" t="s">
        <v>751</v>
      </c>
      <c r="B205" t="s">
        <v>397</v>
      </c>
      <c r="C205">
        <v>43</v>
      </c>
    </row>
    <row r="206" spans="1:3" x14ac:dyDescent="0.45">
      <c r="A206" t="s">
        <v>752</v>
      </c>
      <c r="B206" t="s">
        <v>399</v>
      </c>
      <c r="C206">
        <v>88</v>
      </c>
    </row>
    <row r="207" spans="1:3" x14ac:dyDescent="0.45">
      <c r="A207" t="s">
        <v>753</v>
      </c>
      <c r="B207" t="s">
        <v>400</v>
      </c>
      <c r="C207">
        <v>81</v>
      </c>
    </row>
    <row r="208" spans="1:3" x14ac:dyDescent="0.45">
      <c r="A208" t="s">
        <v>754</v>
      </c>
      <c r="B208" t="s">
        <v>402</v>
      </c>
      <c r="C208">
        <v>66</v>
      </c>
    </row>
    <row r="209" spans="1:3" x14ac:dyDescent="0.45">
      <c r="A209" t="s">
        <v>755</v>
      </c>
      <c r="B209" t="s">
        <v>404</v>
      </c>
      <c r="C209">
        <v>56</v>
      </c>
    </row>
    <row r="210" spans="1:3" x14ac:dyDescent="0.45">
      <c r="A210" t="s">
        <v>756</v>
      </c>
      <c r="B210" t="s">
        <v>405</v>
      </c>
      <c r="C210">
        <v>87</v>
      </c>
    </row>
    <row r="211" spans="1:3" x14ac:dyDescent="0.45">
      <c r="A211" t="s">
        <v>757</v>
      </c>
      <c r="B211" t="s">
        <v>407</v>
      </c>
      <c r="C211">
        <v>85</v>
      </c>
    </row>
    <row r="212" spans="1:3" x14ac:dyDescent="0.45">
      <c r="A212" t="s">
        <v>758</v>
      </c>
      <c r="B212" t="s">
        <v>408</v>
      </c>
      <c r="C212">
        <v>57</v>
      </c>
    </row>
    <row r="213" spans="1:3" x14ac:dyDescent="0.45">
      <c r="A213" t="s">
        <v>759</v>
      </c>
      <c r="B213" t="s">
        <v>409</v>
      </c>
      <c r="C213">
        <v>35</v>
      </c>
    </row>
    <row r="214" spans="1:3" x14ac:dyDescent="0.45">
      <c r="A214" t="s">
        <v>760</v>
      </c>
      <c r="B214" t="s">
        <v>411</v>
      </c>
      <c r="C214">
        <v>75</v>
      </c>
    </row>
    <row r="215" spans="1:3" x14ac:dyDescent="0.45">
      <c r="A215" t="s">
        <v>761</v>
      </c>
      <c r="B215" t="s">
        <v>412</v>
      </c>
      <c r="C215">
        <v>8</v>
      </c>
    </row>
    <row r="216" spans="1:3" x14ac:dyDescent="0.45">
      <c r="A216" t="s">
        <v>762</v>
      </c>
      <c r="B216" t="s">
        <v>414</v>
      </c>
      <c r="C216">
        <v>74</v>
      </c>
    </row>
    <row r="217" spans="1:3" x14ac:dyDescent="0.45">
      <c r="A217" t="s">
        <v>763</v>
      </c>
      <c r="B217" t="s">
        <v>416</v>
      </c>
      <c r="C217">
        <v>53</v>
      </c>
    </row>
    <row r="218" spans="1:3" x14ac:dyDescent="0.45">
      <c r="A218" t="s">
        <v>764</v>
      </c>
      <c r="B218" t="s">
        <v>417</v>
      </c>
      <c r="C218">
        <v>42</v>
      </c>
    </row>
    <row r="219" spans="1:3" x14ac:dyDescent="0.45">
      <c r="A219" t="s">
        <v>765</v>
      </c>
      <c r="B219" t="s">
        <v>418</v>
      </c>
      <c r="C219">
        <v>29</v>
      </c>
    </row>
    <row r="220" spans="1:3" x14ac:dyDescent="0.45">
      <c r="A220" t="s">
        <v>766</v>
      </c>
      <c r="B220" t="s">
        <v>420</v>
      </c>
      <c r="C220">
        <v>14</v>
      </c>
    </row>
    <row r="221" spans="1:3" x14ac:dyDescent="0.45">
      <c r="A221" t="s">
        <v>767</v>
      </c>
      <c r="B221" t="s">
        <v>422</v>
      </c>
      <c r="C221">
        <v>64</v>
      </c>
    </row>
    <row r="222" spans="1:3" x14ac:dyDescent="0.45">
      <c r="A222" t="s">
        <v>768</v>
      </c>
      <c r="B222" t="s">
        <v>424</v>
      </c>
      <c r="C222">
        <v>10</v>
      </c>
    </row>
    <row r="223" spans="1:3" x14ac:dyDescent="0.45">
      <c r="A223" t="s">
        <v>769</v>
      </c>
      <c r="B223" t="s">
        <v>426</v>
      </c>
      <c r="C223">
        <v>91</v>
      </c>
    </row>
    <row r="224" spans="1:3" x14ac:dyDescent="0.45">
      <c r="A224" t="s">
        <v>770</v>
      </c>
      <c r="B224" t="s">
        <v>428</v>
      </c>
      <c r="C224">
        <v>58</v>
      </c>
    </row>
    <row r="225" spans="1:3" x14ac:dyDescent="0.45">
      <c r="A225" t="s">
        <v>771</v>
      </c>
      <c r="B225" t="s">
        <v>429</v>
      </c>
      <c r="C225">
        <v>62</v>
      </c>
    </row>
    <row r="226" spans="1:3" x14ac:dyDescent="0.45">
      <c r="A226" t="s">
        <v>772</v>
      </c>
      <c r="B226" t="s">
        <v>430</v>
      </c>
      <c r="C226">
        <v>25</v>
      </c>
    </row>
    <row r="227" spans="1:3" x14ac:dyDescent="0.45">
      <c r="A227" t="s">
        <v>773</v>
      </c>
      <c r="B227" t="s">
        <v>432</v>
      </c>
      <c r="C227">
        <v>50</v>
      </c>
    </row>
    <row r="228" spans="1:3" x14ac:dyDescent="0.45">
      <c r="A228" t="s">
        <v>774</v>
      </c>
      <c r="B228" t="s">
        <v>434</v>
      </c>
      <c r="C228">
        <v>70</v>
      </c>
    </row>
    <row r="229" spans="1:3" x14ac:dyDescent="0.45">
      <c r="A229" t="s">
        <v>775</v>
      </c>
      <c r="B229" t="s">
        <v>436</v>
      </c>
      <c r="C229">
        <v>55</v>
      </c>
    </row>
    <row r="230" spans="1:3" x14ac:dyDescent="0.45">
      <c r="A230" t="s">
        <v>776</v>
      </c>
      <c r="B230" t="s">
        <v>438</v>
      </c>
      <c r="C230">
        <v>90</v>
      </c>
    </row>
    <row r="231" spans="1:3" x14ac:dyDescent="0.45">
      <c r="A231" t="s">
        <v>777</v>
      </c>
      <c r="B231" t="s">
        <v>440</v>
      </c>
      <c r="C231">
        <v>69</v>
      </c>
    </row>
    <row r="232" spans="1:3" x14ac:dyDescent="0.45">
      <c r="A232" t="s">
        <v>778</v>
      </c>
      <c r="B232" t="s">
        <v>442</v>
      </c>
      <c r="C232">
        <v>73</v>
      </c>
    </row>
    <row r="233" spans="1:3" x14ac:dyDescent="0.45">
      <c r="A233" t="s">
        <v>779</v>
      </c>
      <c r="B233" t="s">
        <v>443</v>
      </c>
      <c r="C233">
        <v>81</v>
      </c>
    </row>
    <row r="234" spans="1:3" x14ac:dyDescent="0.45">
      <c r="A234" t="s">
        <v>780</v>
      </c>
      <c r="B234" t="s">
        <v>444</v>
      </c>
      <c r="C234">
        <v>65</v>
      </c>
    </row>
    <row r="235" spans="1:3" x14ac:dyDescent="0.45">
      <c r="A235" t="s">
        <v>781</v>
      </c>
      <c r="B235" t="s">
        <v>446</v>
      </c>
      <c r="C235">
        <v>31</v>
      </c>
    </row>
    <row r="236" spans="1:3" x14ac:dyDescent="0.45">
      <c r="A236" t="s">
        <v>782</v>
      </c>
      <c r="B236" t="s">
        <v>447</v>
      </c>
      <c r="C236">
        <v>24</v>
      </c>
    </row>
    <row r="237" spans="1:3" x14ac:dyDescent="0.45">
      <c r="A237" t="s">
        <v>783</v>
      </c>
      <c r="B237" t="s">
        <v>448</v>
      </c>
      <c r="C237">
        <v>30</v>
      </c>
    </row>
    <row r="238" spans="1:3" x14ac:dyDescent="0.45">
      <c r="A238" t="s">
        <v>784</v>
      </c>
      <c r="B238" t="s">
        <v>449</v>
      </c>
      <c r="C238">
        <v>75</v>
      </c>
    </row>
    <row r="239" spans="1:3" x14ac:dyDescent="0.45">
      <c r="A239" t="s">
        <v>785</v>
      </c>
      <c r="B239" t="s">
        <v>450</v>
      </c>
      <c r="C239">
        <v>48</v>
      </c>
    </row>
    <row r="240" spans="1:3" x14ac:dyDescent="0.45">
      <c r="A240" t="s">
        <v>786</v>
      </c>
      <c r="B240" t="s">
        <v>451</v>
      </c>
      <c r="C240">
        <v>54</v>
      </c>
    </row>
    <row r="241" spans="1:3" x14ac:dyDescent="0.45">
      <c r="A241" t="s">
        <v>787</v>
      </c>
      <c r="B241" t="s">
        <v>453</v>
      </c>
      <c r="C241">
        <v>71</v>
      </c>
    </row>
    <row r="242" spans="1:3" x14ac:dyDescent="0.45">
      <c r="A242" t="s">
        <v>788</v>
      </c>
      <c r="B242" t="s">
        <v>455</v>
      </c>
      <c r="C242">
        <v>17</v>
      </c>
    </row>
    <row r="243" spans="1:3" x14ac:dyDescent="0.45">
      <c r="A243" t="s">
        <v>789</v>
      </c>
      <c r="B243" t="s">
        <v>457</v>
      </c>
      <c r="C243">
        <v>24</v>
      </c>
    </row>
    <row r="244" spans="1:3" x14ac:dyDescent="0.45">
      <c r="A244" t="s">
        <v>790</v>
      </c>
      <c r="B244" t="s">
        <v>458</v>
      </c>
      <c r="C244">
        <v>83</v>
      </c>
    </row>
    <row r="245" spans="1:3" x14ac:dyDescent="0.45">
      <c r="A245" t="s">
        <v>791</v>
      </c>
      <c r="B245" t="s">
        <v>460</v>
      </c>
      <c r="C245">
        <v>32</v>
      </c>
    </row>
    <row r="246" spans="1:3" x14ac:dyDescent="0.45">
      <c r="A246" t="s">
        <v>792</v>
      </c>
      <c r="B246" t="s">
        <v>462</v>
      </c>
      <c r="C246">
        <v>55</v>
      </c>
    </row>
    <row r="247" spans="1:3" x14ac:dyDescent="0.45">
      <c r="A247" t="s">
        <v>793</v>
      </c>
      <c r="B247" t="s">
        <v>464</v>
      </c>
      <c r="C247">
        <v>91</v>
      </c>
    </row>
    <row r="248" spans="1:3" x14ac:dyDescent="0.45">
      <c r="A248" t="s">
        <v>794</v>
      </c>
      <c r="B248" t="s">
        <v>465</v>
      </c>
      <c r="C248">
        <v>25</v>
      </c>
    </row>
    <row r="249" spans="1:3" x14ac:dyDescent="0.45">
      <c r="A249" t="s">
        <v>795</v>
      </c>
      <c r="B249" t="s">
        <v>467</v>
      </c>
      <c r="C249">
        <v>35</v>
      </c>
    </row>
    <row r="250" spans="1:3" x14ac:dyDescent="0.45">
      <c r="A250" t="s">
        <v>796</v>
      </c>
      <c r="B250" t="s">
        <v>469</v>
      </c>
      <c r="C250">
        <v>37</v>
      </c>
    </row>
    <row r="251" spans="1:3" x14ac:dyDescent="0.45">
      <c r="A251" t="s">
        <v>797</v>
      </c>
      <c r="B251" t="s">
        <v>470</v>
      </c>
      <c r="C251">
        <v>87</v>
      </c>
    </row>
    <row r="252" spans="1:3" x14ac:dyDescent="0.45">
      <c r="A252" t="s">
        <v>798</v>
      </c>
      <c r="B252" t="s">
        <v>472</v>
      </c>
      <c r="C252">
        <v>54</v>
      </c>
    </row>
    <row r="253" spans="1:3" x14ac:dyDescent="0.45">
      <c r="A253" t="s">
        <v>799</v>
      </c>
      <c r="B253" t="s">
        <v>473</v>
      </c>
      <c r="C253">
        <v>60</v>
      </c>
    </row>
    <row r="254" spans="1:3" x14ac:dyDescent="0.45">
      <c r="A254" t="s">
        <v>800</v>
      </c>
      <c r="B254" t="s">
        <v>474</v>
      </c>
      <c r="C254">
        <v>19</v>
      </c>
    </row>
    <row r="255" spans="1:3" x14ac:dyDescent="0.45">
      <c r="A255" t="s">
        <v>801</v>
      </c>
      <c r="B255" t="s">
        <v>475</v>
      </c>
      <c r="C255">
        <v>69</v>
      </c>
    </row>
    <row r="256" spans="1:3" x14ac:dyDescent="0.45">
      <c r="A256" t="s">
        <v>802</v>
      </c>
      <c r="B256" t="s">
        <v>477</v>
      </c>
      <c r="C256">
        <v>84</v>
      </c>
    </row>
    <row r="257" spans="1:3" x14ac:dyDescent="0.45">
      <c r="A257" t="s">
        <v>803</v>
      </c>
      <c r="B257" t="s">
        <v>478</v>
      </c>
      <c r="C257">
        <v>62</v>
      </c>
    </row>
    <row r="258" spans="1:3" x14ac:dyDescent="0.45">
      <c r="A258" t="s">
        <v>804</v>
      </c>
      <c r="B258" t="s">
        <v>480</v>
      </c>
      <c r="C258">
        <v>94</v>
      </c>
    </row>
    <row r="259" spans="1:3" x14ac:dyDescent="0.45">
      <c r="A259" t="s">
        <v>805</v>
      </c>
      <c r="B259" t="s">
        <v>481</v>
      </c>
      <c r="C259">
        <v>60</v>
      </c>
    </row>
    <row r="260" spans="1:3" x14ac:dyDescent="0.45">
      <c r="A260" t="s">
        <v>806</v>
      </c>
      <c r="B260" t="s">
        <v>482</v>
      </c>
      <c r="C260">
        <v>60</v>
      </c>
    </row>
    <row r="261" spans="1:3" x14ac:dyDescent="0.45">
      <c r="A261" t="s">
        <v>807</v>
      </c>
      <c r="B261" t="s">
        <v>484</v>
      </c>
      <c r="C261">
        <v>85</v>
      </c>
    </row>
    <row r="262" spans="1:3" x14ac:dyDescent="0.45">
      <c r="A262" t="s">
        <v>808</v>
      </c>
      <c r="B262" t="s">
        <v>486</v>
      </c>
      <c r="C262">
        <v>42</v>
      </c>
    </row>
    <row r="263" spans="1:3" x14ac:dyDescent="0.45">
      <c r="A263" t="s">
        <v>809</v>
      </c>
      <c r="B263" t="s">
        <v>488</v>
      </c>
      <c r="C263">
        <v>89</v>
      </c>
    </row>
    <row r="264" spans="1:3" x14ac:dyDescent="0.45">
      <c r="A264" t="s">
        <v>810</v>
      </c>
      <c r="B264" t="s">
        <v>489</v>
      </c>
      <c r="C264">
        <v>13</v>
      </c>
    </row>
    <row r="265" spans="1:3" x14ac:dyDescent="0.45">
      <c r="A265" t="s">
        <v>811</v>
      </c>
      <c r="B265" t="s">
        <v>491</v>
      </c>
      <c r="C265">
        <v>33</v>
      </c>
    </row>
    <row r="266" spans="1:3" x14ac:dyDescent="0.45">
      <c r="A266" t="s">
        <v>812</v>
      </c>
      <c r="B266" t="s">
        <v>492</v>
      </c>
      <c r="C266">
        <v>94</v>
      </c>
    </row>
    <row r="267" spans="1:3" x14ac:dyDescent="0.45">
      <c r="A267" t="s">
        <v>813</v>
      </c>
      <c r="B267" t="s">
        <v>494</v>
      </c>
      <c r="C267">
        <v>65</v>
      </c>
    </row>
    <row r="268" spans="1:3" x14ac:dyDescent="0.45">
      <c r="A268" t="s">
        <v>814</v>
      </c>
      <c r="B268" t="s">
        <v>495</v>
      </c>
      <c r="C268">
        <v>13</v>
      </c>
    </row>
    <row r="269" spans="1:3" x14ac:dyDescent="0.45">
      <c r="A269" t="s">
        <v>815</v>
      </c>
      <c r="B269" t="s">
        <v>497</v>
      </c>
      <c r="C269">
        <v>93</v>
      </c>
    </row>
    <row r="270" spans="1:3" x14ac:dyDescent="0.45">
      <c r="A270" t="s">
        <v>816</v>
      </c>
      <c r="B270" t="s">
        <v>498</v>
      </c>
      <c r="C270">
        <v>65</v>
      </c>
    </row>
    <row r="271" spans="1:3" x14ac:dyDescent="0.45">
      <c r="A271" t="s">
        <v>817</v>
      </c>
      <c r="B271" t="s">
        <v>500</v>
      </c>
      <c r="C271">
        <v>35</v>
      </c>
    </row>
    <row r="272" spans="1:3" x14ac:dyDescent="0.45">
      <c r="A272" t="s">
        <v>818</v>
      </c>
      <c r="B272" t="s">
        <v>502</v>
      </c>
      <c r="C272">
        <v>37</v>
      </c>
    </row>
    <row r="273" spans="1:3" x14ac:dyDescent="0.45">
      <c r="A273" t="s">
        <v>819</v>
      </c>
      <c r="B273" t="s">
        <v>504</v>
      </c>
      <c r="C273">
        <v>64</v>
      </c>
    </row>
    <row r="274" spans="1:3" x14ac:dyDescent="0.45">
      <c r="A274" t="s">
        <v>820</v>
      </c>
      <c r="B274" t="s">
        <v>505</v>
      </c>
      <c r="C274">
        <v>31</v>
      </c>
    </row>
    <row r="275" spans="1:3" x14ac:dyDescent="0.45">
      <c r="A275" t="s">
        <v>821</v>
      </c>
      <c r="B275" t="s">
        <v>506</v>
      </c>
      <c r="C275">
        <v>94</v>
      </c>
    </row>
    <row r="276" spans="1:3" x14ac:dyDescent="0.45">
      <c r="A276" t="s">
        <v>822</v>
      </c>
      <c r="B276" t="s">
        <v>507</v>
      </c>
      <c r="C276">
        <v>32</v>
      </c>
    </row>
    <row r="277" spans="1:3" x14ac:dyDescent="0.45">
      <c r="A277" t="s">
        <v>823</v>
      </c>
      <c r="B277" t="s">
        <v>509</v>
      </c>
      <c r="C277">
        <v>14</v>
      </c>
    </row>
    <row r="278" spans="1:3" x14ac:dyDescent="0.45">
      <c r="A278" t="s">
        <v>824</v>
      </c>
      <c r="B278" t="s">
        <v>510</v>
      </c>
      <c r="C278">
        <v>96</v>
      </c>
    </row>
    <row r="279" spans="1:3" x14ac:dyDescent="0.45">
      <c r="A279" t="s">
        <v>825</v>
      </c>
      <c r="B279" t="s">
        <v>511</v>
      </c>
      <c r="C279">
        <v>78</v>
      </c>
    </row>
    <row r="280" spans="1:3" x14ac:dyDescent="0.45">
      <c r="A280" t="s">
        <v>826</v>
      </c>
      <c r="B280" t="s">
        <v>512</v>
      </c>
      <c r="C280">
        <v>50</v>
      </c>
    </row>
    <row r="281" spans="1:3" x14ac:dyDescent="0.45">
      <c r="A281" t="s">
        <v>827</v>
      </c>
      <c r="B281" t="s">
        <v>514</v>
      </c>
      <c r="C281">
        <v>58</v>
      </c>
    </row>
    <row r="282" spans="1:3" x14ac:dyDescent="0.45">
      <c r="A282" t="s">
        <v>828</v>
      </c>
      <c r="B282" t="s">
        <v>515</v>
      </c>
      <c r="C282">
        <v>72</v>
      </c>
    </row>
    <row r="283" spans="1:3" x14ac:dyDescent="0.45">
      <c r="A283" t="s">
        <v>829</v>
      </c>
      <c r="B283" t="s">
        <v>516</v>
      </c>
      <c r="C283">
        <v>88</v>
      </c>
    </row>
    <row r="284" spans="1:3" x14ac:dyDescent="0.45">
      <c r="A284" t="s">
        <v>830</v>
      </c>
      <c r="B284" t="s">
        <v>517</v>
      </c>
      <c r="C284">
        <v>71</v>
      </c>
    </row>
    <row r="285" spans="1:3" x14ac:dyDescent="0.45">
      <c r="A285" t="s">
        <v>831</v>
      </c>
      <c r="B285" t="s">
        <v>518</v>
      </c>
      <c r="C285">
        <v>45</v>
      </c>
    </row>
    <row r="286" spans="1:3" x14ac:dyDescent="0.45">
      <c r="A286" t="s">
        <v>832</v>
      </c>
      <c r="B286" t="s">
        <v>520</v>
      </c>
      <c r="C286">
        <v>50</v>
      </c>
    </row>
    <row r="287" spans="1:3" x14ac:dyDescent="0.45">
      <c r="A287" t="s">
        <v>833</v>
      </c>
      <c r="B287" t="s">
        <v>521</v>
      </c>
      <c r="C287">
        <v>75</v>
      </c>
    </row>
    <row r="288" spans="1:3" x14ac:dyDescent="0.45">
      <c r="A288" t="s">
        <v>834</v>
      </c>
      <c r="B288" t="s">
        <v>523</v>
      </c>
      <c r="C288">
        <v>50</v>
      </c>
    </row>
    <row r="289" spans="1:3" x14ac:dyDescent="0.45">
      <c r="A289" t="s">
        <v>835</v>
      </c>
      <c r="B289" t="s">
        <v>525</v>
      </c>
      <c r="C289">
        <v>53</v>
      </c>
    </row>
    <row r="290" spans="1:3" x14ac:dyDescent="0.45">
      <c r="A290" t="s">
        <v>836</v>
      </c>
      <c r="B290" t="s">
        <v>527</v>
      </c>
      <c r="C290">
        <v>98</v>
      </c>
    </row>
    <row r="291" spans="1:3" x14ac:dyDescent="0.45">
      <c r="A291" t="s">
        <v>837</v>
      </c>
      <c r="B291" t="s">
        <v>529</v>
      </c>
      <c r="C291">
        <v>68</v>
      </c>
    </row>
    <row r="292" spans="1:3" x14ac:dyDescent="0.45">
      <c r="A292" t="s">
        <v>838</v>
      </c>
      <c r="B292" t="s">
        <v>530</v>
      </c>
      <c r="C292">
        <v>42</v>
      </c>
    </row>
    <row r="293" spans="1:3" x14ac:dyDescent="0.45">
      <c r="A293" t="s">
        <v>839</v>
      </c>
      <c r="B293" t="s">
        <v>531</v>
      </c>
      <c r="C293">
        <v>44</v>
      </c>
    </row>
    <row r="294" spans="1:3" x14ac:dyDescent="0.45">
      <c r="A294" t="s">
        <v>840</v>
      </c>
      <c r="B294" t="s">
        <v>532</v>
      </c>
      <c r="C294">
        <v>69</v>
      </c>
    </row>
    <row r="295" spans="1:3" x14ac:dyDescent="0.45">
      <c r="A295" t="s">
        <v>841</v>
      </c>
      <c r="B295" t="s">
        <v>534</v>
      </c>
      <c r="C295">
        <v>17</v>
      </c>
    </row>
    <row r="296" spans="1:3" x14ac:dyDescent="0.45">
      <c r="A296" t="s">
        <v>842</v>
      </c>
      <c r="B296" t="s">
        <v>536</v>
      </c>
      <c r="C296">
        <v>45</v>
      </c>
    </row>
    <row r="297" spans="1:3" x14ac:dyDescent="0.45">
      <c r="A297" t="s">
        <v>843</v>
      </c>
      <c r="B297" t="s">
        <v>537</v>
      </c>
      <c r="C297">
        <v>14</v>
      </c>
    </row>
    <row r="298" spans="1:3" x14ac:dyDescent="0.45">
      <c r="A298" t="s">
        <v>844</v>
      </c>
      <c r="B298" t="s">
        <v>538</v>
      </c>
      <c r="C298">
        <v>5</v>
      </c>
    </row>
    <row r="299" spans="1:3" x14ac:dyDescent="0.45">
      <c r="A299" t="s">
        <v>845</v>
      </c>
      <c r="B299" t="s">
        <v>540</v>
      </c>
      <c r="C299">
        <v>92</v>
      </c>
    </row>
    <row r="300" spans="1:3" x14ac:dyDescent="0.45">
      <c r="A300" t="s">
        <v>846</v>
      </c>
      <c r="B300" t="s">
        <v>542</v>
      </c>
      <c r="C300">
        <v>20</v>
      </c>
    </row>
    <row r="301" spans="1:3" x14ac:dyDescent="0.45">
      <c r="A301" t="s">
        <v>847</v>
      </c>
      <c r="B301" t="s">
        <v>544</v>
      </c>
      <c r="C301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DF56-D14C-4FCC-B002-1F37741CD37A}">
  <dimension ref="A1:D301"/>
  <sheetViews>
    <sheetView workbookViewId="0">
      <selection activeCell="D3" sqref="A1:D301"/>
    </sheetView>
  </sheetViews>
  <sheetFormatPr defaultRowHeight="14.25" x14ac:dyDescent="0.45"/>
  <cols>
    <col min="1" max="1" width="8.9296875" bestFit="1" customWidth="1"/>
    <col min="3" max="3" width="12.3984375" bestFit="1" customWidth="1"/>
    <col min="4" max="4" width="10.53125" bestFit="1" customWidth="1"/>
  </cols>
  <sheetData>
    <row r="1" spans="1:4" x14ac:dyDescent="0.45">
      <c r="A1" s="1" t="s">
        <v>0</v>
      </c>
      <c r="B1" s="1" t="s">
        <v>3</v>
      </c>
      <c r="C1" s="1" t="s">
        <v>547</v>
      </c>
      <c r="D1" s="1" t="s">
        <v>848</v>
      </c>
    </row>
    <row r="2" spans="1:4" x14ac:dyDescent="0.45">
      <c r="A2" t="s">
        <v>6</v>
      </c>
      <c r="B2">
        <f>_xlfn.XLOOKUP(A2,Invoice_Data!A2,Invoice_Data!E2)</f>
        <v>100</v>
      </c>
      <c r="C2">
        <f>_xlfn.XLOOKUP(A2,Delivery_Order!B2,Delivery_Order!C2)</f>
        <v>100</v>
      </c>
      <c r="D2" t="str">
        <f>IF(B2=C2,"MATCH","MISSMATCH")</f>
        <v>MATCH</v>
      </c>
    </row>
    <row r="3" spans="1:4" x14ac:dyDescent="0.45">
      <c r="A3" t="s">
        <v>9</v>
      </c>
      <c r="B3">
        <f>_xlfn.XLOOKUP(A3,Invoice_Data!A3,Invoice_Data!E3)</f>
        <v>21</v>
      </c>
      <c r="C3">
        <f>_xlfn.XLOOKUP(A3,Delivery_Order!B3,Delivery_Order!C3)</f>
        <v>21</v>
      </c>
      <c r="D3" t="str">
        <f t="shared" ref="D3:D66" si="0">IF(B3=C3,"MATCH","MISSMATCH")</f>
        <v>MATCH</v>
      </c>
    </row>
    <row r="4" spans="1:4" x14ac:dyDescent="0.45">
      <c r="A4" t="s">
        <v>12</v>
      </c>
      <c r="B4">
        <f>_xlfn.XLOOKUP(A4,Invoice_Data!A4,Invoice_Data!E4)</f>
        <v>90</v>
      </c>
      <c r="C4">
        <f>_xlfn.XLOOKUP(A4,Delivery_Order!B4,Delivery_Order!C4)</f>
        <v>90</v>
      </c>
      <c r="D4" t="str">
        <f t="shared" si="0"/>
        <v>MATCH</v>
      </c>
    </row>
    <row r="5" spans="1:4" x14ac:dyDescent="0.45">
      <c r="A5" t="s">
        <v>15</v>
      </c>
      <c r="B5">
        <f>_xlfn.XLOOKUP(A5,Invoice_Data!A5,Invoice_Data!E5)</f>
        <v>93</v>
      </c>
      <c r="C5">
        <f>_xlfn.XLOOKUP(A5,Delivery_Order!B5,Delivery_Order!C5)</f>
        <v>93</v>
      </c>
      <c r="D5" t="str">
        <f t="shared" si="0"/>
        <v>MATCH</v>
      </c>
    </row>
    <row r="6" spans="1:4" x14ac:dyDescent="0.45">
      <c r="A6" t="s">
        <v>18</v>
      </c>
      <c r="B6">
        <f>_xlfn.XLOOKUP(A6,Invoice_Data!A6,Invoice_Data!E6)</f>
        <v>35</v>
      </c>
      <c r="C6">
        <f>_xlfn.XLOOKUP(A6,Delivery_Order!B6,Delivery_Order!C6)</f>
        <v>35</v>
      </c>
      <c r="D6" t="str">
        <f t="shared" si="0"/>
        <v>MATCH</v>
      </c>
    </row>
    <row r="7" spans="1:4" x14ac:dyDescent="0.45">
      <c r="A7" t="s">
        <v>20</v>
      </c>
      <c r="B7">
        <f>_xlfn.XLOOKUP(A7,Invoice_Data!A7,Invoice_Data!E7)</f>
        <v>95</v>
      </c>
      <c r="C7">
        <f>_xlfn.XLOOKUP(A7,Delivery_Order!B7,Delivery_Order!C7)</f>
        <v>91</v>
      </c>
      <c r="D7" t="str">
        <f t="shared" si="0"/>
        <v>MISSMATCH</v>
      </c>
    </row>
    <row r="8" spans="1:4" x14ac:dyDescent="0.45">
      <c r="A8" t="s">
        <v>23</v>
      </c>
      <c r="B8">
        <f>_xlfn.XLOOKUP(A8,Invoice_Data!A8,Invoice_Data!E8)</f>
        <v>13</v>
      </c>
      <c r="C8">
        <f>_xlfn.XLOOKUP(A8,Delivery_Order!B8,Delivery_Order!C8)</f>
        <v>13</v>
      </c>
      <c r="D8" t="str">
        <f t="shared" si="0"/>
        <v>MATCH</v>
      </c>
    </row>
    <row r="9" spans="1:4" x14ac:dyDescent="0.45">
      <c r="A9" t="s">
        <v>26</v>
      </c>
      <c r="B9">
        <f>_xlfn.XLOOKUP(A9,Invoice_Data!A9,Invoice_Data!E9)</f>
        <v>34</v>
      </c>
      <c r="C9">
        <f>_xlfn.XLOOKUP(A9,Delivery_Order!B9,Delivery_Order!C9)</f>
        <v>34</v>
      </c>
      <c r="D9" t="str">
        <f t="shared" si="0"/>
        <v>MATCH</v>
      </c>
    </row>
    <row r="10" spans="1:4" x14ac:dyDescent="0.45">
      <c r="A10" t="s">
        <v>29</v>
      </c>
      <c r="B10">
        <f>_xlfn.XLOOKUP(A10,Invoice_Data!A10,Invoice_Data!E10)</f>
        <v>24</v>
      </c>
      <c r="C10">
        <f>_xlfn.XLOOKUP(A10,Delivery_Order!B10,Delivery_Order!C10)</f>
        <v>24</v>
      </c>
      <c r="D10" t="str">
        <f t="shared" si="0"/>
        <v>MATCH</v>
      </c>
    </row>
    <row r="11" spans="1:4" x14ac:dyDescent="0.45">
      <c r="A11" t="s">
        <v>32</v>
      </c>
      <c r="B11">
        <f>_xlfn.XLOOKUP(A11,Invoice_Data!A11,Invoice_Data!E11)</f>
        <v>75</v>
      </c>
      <c r="C11">
        <f>_xlfn.XLOOKUP(A11,Delivery_Order!B11,Delivery_Order!C11)</f>
        <v>71</v>
      </c>
      <c r="D11" t="str">
        <f t="shared" si="0"/>
        <v>MISSMATCH</v>
      </c>
    </row>
    <row r="12" spans="1:4" x14ac:dyDescent="0.45">
      <c r="A12" t="s">
        <v>35</v>
      </c>
      <c r="B12">
        <f>_xlfn.XLOOKUP(A12,Invoice_Data!A12,Invoice_Data!E12)</f>
        <v>97</v>
      </c>
      <c r="C12">
        <f>_xlfn.XLOOKUP(A12,Delivery_Order!B12,Delivery_Order!C12)</f>
        <v>97</v>
      </c>
      <c r="D12" t="str">
        <f t="shared" si="0"/>
        <v>MATCH</v>
      </c>
    </row>
    <row r="13" spans="1:4" x14ac:dyDescent="0.45">
      <c r="A13" t="s">
        <v>38</v>
      </c>
      <c r="B13">
        <f>_xlfn.XLOOKUP(A13,Invoice_Data!A13,Invoice_Data!E13)</f>
        <v>98</v>
      </c>
      <c r="C13">
        <f>_xlfn.XLOOKUP(A13,Delivery_Order!B13,Delivery_Order!C13)</f>
        <v>98</v>
      </c>
      <c r="D13" t="str">
        <f t="shared" si="0"/>
        <v>MATCH</v>
      </c>
    </row>
    <row r="14" spans="1:4" x14ac:dyDescent="0.45">
      <c r="A14" t="s">
        <v>41</v>
      </c>
      <c r="B14">
        <f>_xlfn.XLOOKUP(A14,Invoice_Data!A14,Invoice_Data!E14)</f>
        <v>43</v>
      </c>
      <c r="C14">
        <f>_xlfn.XLOOKUP(A14,Delivery_Order!B14,Delivery_Order!C14)</f>
        <v>43</v>
      </c>
      <c r="D14" t="str">
        <f t="shared" si="0"/>
        <v>MATCH</v>
      </c>
    </row>
    <row r="15" spans="1:4" x14ac:dyDescent="0.45">
      <c r="A15" t="s">
        <v>44</v>
      </c>
      <c r="B15">
        <f>_xlfn.XLOOKUP(A15,Invoice_Data!A15,Invoice_Data!E15)</f>
        <v>71</v>
      </c>
      <c r="C15">
        <f>_xlfn.XLOOKUP(A15,Delivery_Order!B15,Delivery_Order!C15)</f>
        <v>71</v>
      </c>
      <c r="D15" t="str">
        <f t="shared" si="0"/>
        <v>MATCH</v>
      </c>
    </row>
    <row r="16" spans="1:4" x14ac:dyDescent="0.45">
      <c r="A16" t="s">
        <v>47</v>
      </c>
      <c r="B16">
        <f>_xlfn.XLOOKUP(A16,Invoice_Data!A16,Invoice_Data!E16)</f>
        <v>68</v>
      </c>
      <c r="C16">
        <f>_xlfn.XLOOKUP(A16,Delivery_Order!B16,Delivery_Order!C16)</f>
        <v>68</v>
      </c>
      <c r="D16" t="str">
        <f t="shared" si="0"/>
        <v>MATCH</v>
      </c>
    </row>
    <row r="17" spans="1:4" x14ac:dyDescent="0.45">
      <c r="A17" t="s">
        <v>50</v>
      </c>
      <c r="B17">
        <f>_xlfn.XLOOKUP(A17,Invoice_Data!A17,Invoice_Data!E17)</f>
        <v>11</v>
      </c>
      <c r="C17">
        <f>_xlfn.XLOOKUP(A17,Delivery_Order!B17,Delivery_Order!C17)</f>
        <v>11</v>
      </c>
      <c r="D17" t="str">
        <f t="shared" si="0"/>
        <v>MATCH</v>
      </c>
    </row>
    <row r="18" spans="1:4" x14ac:dyDescent="0.45">
      <c r="A18" t="s">
        <v>52</v>
      </c>
      <c r="B18">
        <f>_xlfn.XLOOKUP(A18,Invoice_Data!A18,Invoice_Data!E18)</f>
        <v>63</v>
      </c>
      <c r="C18">
        <f>_xlfn.XLOOKUP(A18,Delivery_Order!B18,Delivery_Order!C18)</f>
        <v>63</v>
      </c>
      <c r="D18" t="str">
        <f t="shared" si="0"/>
        <v>MATCH</v>
      </c>
    </row>
    <row r="19" spans="1:4" x14ac:dyDescent="0.45">
      <c r="A19" t="s">
        <v>54</v>
      </c>
      <c r="B19">
        <f>_xlfn.XLOOKUP(A19,Invoice_Data!A19,Invoice_Data!E19)</f>
        <v>26</v>
      </c>
      <c r="C19">
        <f>_xlfn.XLOOKUP(A19,Delivery_Order!B19,Delivery_Order!C19)</f>
        <v>26</v>
      </c>
      <c r="D19" t="str">
        <f t="shared" si="0"/>
        <v>MATCH</v>
      </c>
    </row>
    <row r="20" spans="1:4" x14ac:dyDescent="0.45">
      <c r="A20" t="s">
        <v>57</v>
      </c>
      <c r="B20">
        <f>_xlfn.XLOOKUP(A20,Invoice_Data!A20,Invoice_Data!E20)</f>
        <v>79</v>
      </c>
      <c r="C20">
        <f>_xlfn.XLOOKUP(A20,Delivery_Order!B20,Delivery_Order!C20)</f>
        <v>79</v>
      </c>
      <c r="D20" t="str">
        <f t="shared" si="0"/>
        <v>MATCH</v>
      </c>
    </row>
    <row r="21" spans="1:4" x14ac:dyDescent="0.45">
      <c r="A21" t="s">
        <v>60</v>
      </c>
      <c r="B21">
        <f>_xlfn.XLOOKUP(A21,Invoice_Data!A21,Invoice_Data!E21)</f>
        <v>34</v>
      </c>
      <c r="C21">
        <f>_xlfn.XLOOKUP(A21,Delivery_Order!B21,Delivery_Order!C21)</f>
        <v>34</v>
      </c>
      <c r="D21" t="str">
        <f t="shared" si="0"/>
        <v>MATCH</v>
      </c>
    </row>
    <row r="22" spans="1:4" x14ac:dyDescent="0.45">
      <c r="A22" t="s">
        <v>63</v>
      </c>
      <c r="B22">
        <f>_xlfn.XLOOKUP(A22,Invoice_Data!A22,Invoice_Data!E22)</f>
        <v>89</v>
      </c>
      <c r="C22">
        <f>_xlfn.XLOOKUP(A22,Delivery_Order!B22,Delivery_Order!C22)</f>
        <v>89</v>
      </c>
      <c r="D22" t="str">
        <f t="shared" si="0"/>
        <v>MATCH</v>
      </c>
    </row>
    <row r="23" spans="1:4" x14ac:dyDescent="0.45">
      <c r="A23" t="s">
        <v>66</v>
      </c>
      <c r="B23">
        <f>_xlfn.XLOOKUP(A23,Invoice_Data!A23,Invoice_Data!E23)</f>
        <v>49</v>
      </c>
      <c r="C23">
        <f>_xlfn.XLOOKUP(A23,Delivery_Order!B23,Delivery_Order!C23)</f>
        <v>49</v>
      </c>
      <c r="D23" t="str">
        <f t="shared" si="0"/>
        <v>MATCH</v>
      </c>
    </row>
    <row r="24" spans="1:4" x14ac:dyDescent="0.45">
      <c r="A24" t="s">
        <v>68</v>
      </c>
      <c r="B24">
        <f>_xlfn.XLOOKUP(A24,Invoice_Data!A24,Invoice_Data!E24)</f>
        <v>94</v>
      </c>
      <c r="C24">
        <f>_xlfn.XLOOKUP(A24,Delivery_Order!B24,Delivery_Order!C24)</f>
        <v>94</v>
      </c>
      <c r="D24" t="str">
        <f t="shared" si="0"/>
        <v>MATCH</v>
      </c>
    </row>
    <row r="25" spans="1:4" x14ac:dyDescent="0.45">
      <c r="A25" t="s">
        <v>70</v>
      </c>
      <c r="B25">
        <f>_xlfn.XLOOKUP(A25,Invoice_Data!A25,Invoice_Data!E25)</f>
        <v>59</v>
      </c>
      <c r="C25">
        <f>_xlfn.XLOOKUP(A25,Delivery_Order!B25,Delivery_Order!C25)</f>
        <v>59</v>
      </c>
      <c r="D25" t="str">
        <f t="shared" si="0"/>
        <v>MATCH</v>
      </c>
    </row>
    <row r="26" spans="1:4" x14ac:dyDescent="0.45">
      <c r="A26" t="s">
        <v>72</v>
      </c>
      <c r="B26">
        <f>_xlfn.XLOOKUP(A26,Invoice_Data!A26,Invoice_Data!E26)</f>
        <v>18</v>
      </c>
      <c r="C26">
        <f>_xlfn.XLOOKUP(A26,Delivery_Order!B26,Delivery_Order!C26)</f>
        <v>18</v>
      </c>
      <c r="D26" t="str">
        <f t="shared" si="0"/>
        <v>MATCH</v>
      </c>
    </row>
    <row r="27" spans="1:4" x14ac:dyDescent="0.45">
      <c r="A27" t="s">
        <v>74</v>
      </c>
      <c r="B27">
        <f>_xlfn.XLOOKUP(A27,Invoice_Data!A27,Invoice_Data!E27)</f>
        <v>58</v>
      </c>
      <c r="C27">
        <f>_xlfn.XLOOKUP(A27,Delivery_Order!B27,Delivery_Order!C27)</f>
        <v>58</v>
      </c>
      <c r="D27" t="str">
        <f t="shared" si="0"/>
        <v>MATCH</v>
      </c>
    </row>
    <row r="28" spans="1:4" x14ac:dyDescent="0.45">
      <c r="A28" t="s">
        <v>77</v>
      </c>
      <c r="B28">
        <f>_xlfn.XLOOKUP(A28,Invoice_Data!A28,Invoice_Data!E28)</f>
        <v>44</v>
      </c>
      <c r="C28">
        <f>_xlfn.XLOOKUP(A28,Delivery_Order!B28,Delivery_Order!C28)</f>
        <v>44</v>
      </c>
      <c r="D28" t="str">
        <f t="shared" si="0"/>
        <v>MATCH</v>
      </c>
    </row>
    <row r="29" spans="1:4" x14ac:dyDescent="0.45">
      <c r="A29" t="s">
        <v>80</v>
      </c>
      <c r="B29">
        <f>_xlfn.XLOOKUP(A29,Invoice_Data!A29,Invoice_Data!E29)</f>
        <v>18</v>
      </c>
      <c r="C29">
        <f>_xlfn.XLOOKUP(A29,Delivery_Order!B29,Delivery_Order!C29)</f>
        <v>18</v>
      </c>
      <c r="D29" t="str">
        <f t="shared" si="0"/>
        <v>MATCH</v>
      </c>
    </row>
    <row r="30" spans="1:4" x14ac:dyDescent="0.45">
      <c r="A30" t="s">
        <v>82</v>
      </c>
      <c r="B30">
        <f>_xlfn.XLOOKUP(A30,Invoice_Data!A30,Invoice_Data!E30)</f>
        <v>93</v>
      </c>
      <c r="C30">
        <f>_xlfn.XLOOKUP(A30,Delivery_Order!B30,Delivery_Order!C30)</f>
        <v>93</v>
      </c>
      <c r="D30" t="str">
        <f t="shared" si="0"/>
        <v>MATCH</v>
      </c>
    </row>
    <row r="31" spans="1:4" x14ac:dyDescent="0.45">
      <c r="A31" t="s">
        <v>85</v>
      </c>
      <c r="B31">
        <f>_xlfn.XLOOKUP(A31,Invoice_Data!A31,Invoice_Data!E31)</f>
        <v>66</v>
      </c>
      <c r="C31">
        <f>_xlfn.XLOOKUP(A31,Delivery_Order!B31,Delivery_Order!C31)</f>
        <v>66</v>
      </c>
      <c r="D31" t="str">
        <f t="shared" si="0"/>
        <v>MATCH</v>
      </c>
    </row>
    <row r="32" spans="1:4" x14ac:dyDescent="0.45">
      <c r="A32" t="s">
        <v>87</v>
      </c>
      <c r="B32">
        <f>_xlfn.XLOOKUP(A32,Invoice_Data!A32,Invoice_Data!E32)</f>
        <v>99</v>
      </c>
      <c r="C32">
        <f>_xlfn.XLOOKUP(A32,Delivery_Order!B32,Delivery_Order!C32)</f>
        <v>99</v>
      </c>
      <c r="D32" t="str">
        <f t="shared" si="0"/>
        <v>MATCH</v>
      </c>
    </row>
    <row r="33" spans="1:4" x14ac:dyDescent="0.45">
      <c r="A33" t="s">
        <v>89</v>
      </c>
      <c r="B33">
        <f>_xlfn.XLOOKUP(A33,Invoice_Data!A33,Invoice_Data!E33)</f>
        <v>64</v>
      </c>
      <c r="C33">
        <f>_xlfn.XLOOKUP(A33,Delivery_Order!B33,Delivery_Order!C33)</f>
        <v>64</v>
      </c>
      <c r="D33" t="str">
        <f t="shared" si="0"/>
        <v>MATCH</v>
      </c>
    </row>
    <row r="34" spans="1:4" x14ac:dyDescent="0.45">
      <c r="A34" t="s">
        <v>91</v>
      </c>
      <c r="B34">
        <f>_xlfn.XLOOKUP(A34,Invoice_Data!A34,Invoice_Data!E34)</f>
        <v>53</v>
      </c>
      <c r="C34">
        <f>_xlfn.XLOOKUP(A34,Delivery_Order!B34,Delivery_Order!C34)</f>
        <v>53</v>
      </c>
      <c r="D34" t="str">
        <f t="shared" si="0"/>
        <v>MATCH</v>
      </c>
    </row>
    <row r="35" spans="1:4" x14ac:dyDescent="0.45">
      <c r="A35" t="s">
        <v>94</v>
      </c>
      <c r="B35">
        <f>_xlfn.XLOOKUP(A35,Invoice_Data!A35,Invoice_Data!E35)</f>
        <v>68</v>
      </c>
      <c r="C35">
        <f>_xlfn.XLOOKUP(A35,Delivery_Order!B35,Delivery_Order!C35)</f>
        <v>68</v>
      </c>
      <c r="D35" t="str">
        <f t="shared" si="0"/>
        <v>MATCH</v>
      </c>
    </row>
    <row r="36" spans="1:4" x14ac:dyDescent="0.45">
      <c r="A36" t="s">
        <v>97</v>
      </c>
      <c r="B36">
        <f>_xlfn.XLOOKUP(A36,Invoice_Data!A36,Invoice_Data!E36)</f>
        <v>77</v>
      </c>
      <c r="C36">
        <f>_xlfn.XLOOKUP(A36,Delivery_Order!B36,Delivery_Order!C36)</f>
        <v>77</v>
      </c>
      <c r="D36" t="str">
        <f t="shared" si="0"/>
        <v>MATCH</v>
      </c>
    </row>
    <row r="37" spans="1:4" x14ac:dyDescent="0.45">
      <c r="A37" t="s">
        <v>99</v>
      </c>
      <c r="B37">
        <f>_xlfn.XLOOKUP(A37,Invoice_Data!A37,Invoice_Data!E37)</f>
        <v>43</v>
      </c>
      <c r="C37">
        <f>_xlfn.XLOOKUP(A37,Delivery_Order!B37,Delivery_Order!C37)</f>
        <v>43</v>
      </c>
      <c r="D37" t="str">
        <f t="shared" si="0"/>
        <v>MATCH</v>
      </c>
    </row>
    <row r="38" spans="1:4" x14ac:dyDescent="0.45">
      <c r="A38" t="s">
        <v>101</v>
      </c>
      <c r="B38">
        <f>_xlfn.XLOOKUP(A38,Invoice_Data!A38,Invoice_Data!E38)</f>
        <v>17</v>
      </c>
      <c r="C38">
        <f>_xlfn.XLOOKUP(A38,Delivery_Order!B38,Delivery_Order!C38)</f>
        <v>17</v>
      </c>
      <c r="D38" t="str">
        <f t="shared" si="0"/>
        <v>MATCH</v>
      </c>
    </row>
    <row r="39" spans="1:4" x14ac:dyDescent="0.45">
      <c r="A39" t="s">
        <v>103</v>
      </c>
      <c r="B39">
        <f>_xlfn.XLOOKUP(A39,Invoice_Data!A39,Invoice_Data!E39)</f>
        <v>92</v>
      </c>
      <c r="C39">
        <f>_xlfn.XLOOKUP(A39,Delivery_Order!B39,Delivery_Order!C39)</f>
        <v>92</v>
      </c>
      <c r="D39" t="str">
        <f t="shared" si="0"/>
        <v>MATCH</v>
      </c>
    </row>
    <row r="40" spans="1:4" x14ac:dyDescent="0.45">
      <c r="A40" t="s">
        <v>105</v>
      </c>
      <c r="B40">
        <f>_xlfn.XLOOKUP(A40,Invoice_Data!A40,Invoice_Data!E40)</f>
        <v>55</v>
      </c>
      <c r="C40">
        <f>_xlfn.XLOOKUP(A40,Delivery_Order!B40,Delivery_Order!C40)</f>
        <v>55</v>
      </c>
      <c r="D40" t="str">
        <f t="shared" si="0"/>
        <v>MATCH</v>
      </c>
    </row>
    <row r="41" spans="1:4" x14ac:dyDescent="0.45">
      <c r="A41" t="s">
        <v>108</v>
      </c>
      <c r="B41">
        <f>_xlfn.XLOOKUP(A41,Invoice_Data!A41,Invoice_Data!E41)</f>
        <v>9</v>
      </c>
      <c r="C41">
        <f>_xlfn.XLOOKUP(A41,Delivery_Order!B41,Delivery_Order!C41)</f>
        <v>9</v>
      </c>
      <c r="D41" t="str">
        <f t="shared" si="0"/>
        <v>MATCH</v>
      </c>
    </row>
    <row r="42" spans="1:4" x14ac:dyDescent="0.45">
      <c r="A42" t="s">
        <v>110</v>
      </c>
      <c r="B42">
        <f>_xlfn.XLOOKUP(A42,Invoice_Data!A42,Invoice_Data!E42)</f>
        <v>50</v>
      </c>
      <c r="C42">
        <f>_xlfn.XLOOKUP(A42,Delivery_Order!B42,Delivery_Order!C42)</f>
        <v>50</v>
      </c>
      <c r="D42" t="str">
        <f t="shared" si="0"/>
        <v>MATCH</v>
      </c>
    </row>
    <row r="43" spans="1:4" x14ac:dyDescent="0.45">
      <c r="A43" t="s">
        <v>113</v>
      </c>
      <c r="B43">
        <f>_xlfn.XLOOKUP(A43,Invoice_Data!A43,Invoice_Data!E43)</f>
        <v>74</v>
      </c>
      <c r="C43">
        <f>_xlfn.XLOOKUP(A43,Delivery_Order!B43,Delivery_Order!C43)</f>
        <v>74</v>
      </c>
      <c r="D43" t="str">
        <f t="shared" si="0"/>
        <v>MATCH</v>
      </c>
    </row>
    <row r="44" spans="1:4" x14ac:dyDescent="0.45">
      <c r="A44" t="s">
        <v>115</v>
      </c>
      <c r="B44">
        <f>_xlfn.XLOOKUP(A44,Invoice_Data!A44,Invoice_Data!E44)</f>
        <v>24</v>
      </c>
      <c r="C44">
        <f>_xlfn.XLOOKUP(A44,Delivery_Order!B44,Delivery_Order!C44)</f>
        <v>24</v>
      </c>
      <c r="D44" t="str">
        <f t="shared" si="0"/>
        <v>MATCH</v>
      </c>
    </row>
    <row r="45" spans="1:4" x14ac:dyDescent="0.45">
      <c r="A45" t="s">
        <v>116</v>
      </c>
      <c r="B45">
        <f>_xlfn.XLOOKUP(A45,Invoice_Data!A45,Invoice_Data!E45)</f>
        <v>30</v>
      </c>
      <c r="C45">
        <f>_xlfn.XLOOKUP(A45,Delivery_Order!B45,Delivery_Order!C45)</f>
        <v>30</v>
      </c>
      <c r="D45" t="str">
        <f t="shared" si="0"/>
        <v>MATCH</v>
      </c>
    </row>
    <row r="46" spans="1:4" x14ac:dyDescent="0.45">
      <c r="A46" t="s">
        <v>118</v>
      </c>
      <c r="B46">
        <f>_xlfn.XLOOKUP(A46,Invoice_Data!A46,Invoice_Data!E46)</f>
        <v>60</v>
      </c>
      <c r="C46">
        <f>_xlfn.XLOOKUP(A46,Delivery_Order!B46,Delivery_Order!C46)</f>
        <v>60</v>
      </c>
      <c r="D46" t="str">
        <f t="shared" si="0"/>
        <v>MATCH</v>
      </c>
    </row>
    <row r="47" spans="1:4" x14ac:dyDescent="0.45">
      <c r="A47" t="s">
        <v>121</v>
      </c>
      <c r="B47">
        <f>_xlfn.XLOOKUP(A47,Invoice_Data!A47,Invoice_Data!E47)</f>
        <v>95</v>
      </c>
      <c r="C47">
        <f>_xlfn.XLOOKUP(A47,Delivery_Order!B47,Delivery_Order!C47)</f>
        <v>95</v>
      </c>
      <c r="D47" t="str">
        <f t="shared" si="0"/>
        <v>MATCH</v>
      </c>
    </row>
    <row r="48" spans="1:4" x14ac:dyDescent="0.45">
      <c r="A48" t="s">
        <v>123</v>
      </c>
      <c r="B48">
        <f>_xlfn.XLOOKUP(A48,Invoice_Data!A48,Invoice_Data!E48)</f>
        <v>56</v>
      </c>
      <c r="C48">
        <f>_xlfn.XLOOKUP(A48,Delivery_Order!B48,Delivery_Order!C48)</f>
        <v>56</v>
      </c>
      <c r="D48" t="str">
        <f t="shared" si="0"/>
        <v>MATCH</v>
      </c>
    </row>
    <row r="49" spans="1:4" x14ac:dyDescent="0.45">
      <c r="A49" t="s">
        <v>125</v>
      </c>
      <c r="B49">
        <f>_xlfn.XLOOKUP(A49,Invoice_Data!A49,Invoice_Data!E49)</f>
        <v>42</v>
      </c>
      <c r="C49">
        <f>_xlfn.XLOOKUP(A49,Delivery_Order!B49,Delivery_Order!C49)</f>
        <v>42</v>
      </c>
      <c r="D49" t="str">
        <f t="shared" si="0"/>
        <v>MATCH</v>
      </c>
    </row>
    <row r="50" spans="1:4" x14ac:dyDescent="0.45">
      <c r="A50" t="s">
        <v>127</v>
      </c>
      <c r="B50">
        <f>_xlfn.XLOOKUP(A50,Invoice_Data!A50,Invoice_Data!E50)</f>
        <v>34</v>
      </c>
      <c r="C50">
        <f>_xlfn.XLOOKUP(A50,Delivery_Order!B50,Delivery_Order!C50)</f>
        <v>34</v>
      </c>
      <c r="D50" t="str">
        <f t="shared" si="0"/>
        <v>MATCH</v>
      </c>
    </row>
    <row r="51" spans="1:4" x14ac:dyDescent="0.45">
      <c r="A51" t="s">
        <v>129</v>
      </c>
      <c r="B51">
        <f>_xlfn.XLOOKUP(A51,Invoice_Data!A51,Invoice_Data!E51)</f>
        <v>26</v>
      </c>
      <c r="C51">
        <f>_xlfn.XLOOKUP(A51,Delivery_Order!B51,Delivery_Order!C51)</f>
        <v>26</v>
      </c>
      <c r="D51" t="str">
        <f t="shared" si="0"/>
        <v>MATCH</v>
      </c>
    </row>
    <row r="52" spans="1:4" x14ac:dyDescent="0.45">
      <c r="A52" t="s">
        <v>131</v>
      </c>
      <c r="B52">
        <f>_xlfn.XLOOKUP(A52,Invoice_Data!A52,Invoice_Data!E52)</f>
        <v>94</v>
      </c>
      <c r="C52">
        <f>_xlfn.XLOOKUP(A52,Delivery_Order!B52,Delivery_Order!C52)</f>
        <v>94</v>
      </c>
      <c r="D52" t="str">
        <f t="shared" si="0"/>
        <v>MATCH</v>
      </c>
    </row>
    <row r="53" spans="1:4" x14ac:dyDescent="0.45">
      <c r="A53" t="s">
        <v>133</v>
      </c>
      <c r="B53">
        <f>_xlfn.XLOOKUP(A53,Invoice_Data!A53,Invoice_Data!E53)</f>
        <v>9</v>
      </c>
      <c r="C53">
        <f>_xlfn.XLOOKUP(A53,Delivery_Order!B53,Delivery_Order!C53)</f>
        <v>9</v>
      </c>
      <c r="D53" t="str">
        <f t="shared" si="0"/>
        <v>MATCH</v>
      </c>
    </row>
    <row r="54" spans="1:4" x14ac:dyDescent="0.45">
      <c r="A54" t="s">
        <v>136</v>
      </c>
      <c r="B54">
        <f>_xlfn.XLOOKUP(A54,Invoice_Data!A54,Invoice_Data!E54)</f>
        <v>56</v>
      </c>
      <c r="C54">
        <f>_xlfn.XLOOKUP(A54,Delivery_Order!B54,Delivery_Order!C54)</f>
        <v>56</v>
      </c>
      <c r="D54" t="str">
        <f t="shared" si="0"/>
        <v>MATCH</v>
      </c>
    </row>
    <row r="55" spans="1:4" x14ac:dyDescent="0.45">
      <c r="A55" t="s">
        <v>138</v>
      </c>
      <c r="B55">
        <f>_xlfn.XLOOKUP(A55,Invoice_Data!A55,Invoice_Data!E55)</f>
        <v>6</v>
      </c>
      <c r="C55">
        <f>_xlfn.XLOOKUP(A55,Delivery_Order!B55,Delivery_Order!C55)</f>
        <v>6</v>
      </c>
      <c r="D55" t="str">
        <f t="shared" si="0"/>
        <v>MATCH</v>
      </c>
    </row>
    <row r="56" spans="1:4" x14ac:dyDescent="0.45">
      <c r="A56" t="s">
        <v>141</v>
      </c>
      <c r="B56">
        <f>_xlfn.XLOOKUP(A56,Invoice_Data!A56,Invoice_Data!E56)</f>
        <v>45</v>
      </c>
      <c r="C56">
        <f>_xlfn.XLOOKUP(A56,Delivery_Order!B56,Delivery_Order!C56)</f>
        <v>45</v>
      </c>
      <c r="D56" t="str">
        <f t="shared" si="0"/>
        <v>MATCH</v>
      </c>
    </row>
    <row r="57" spans="1:4" x14ac:dyDescent="0.45">
      <c r="A57" t="s">
        <v>143</v>
      </c>
      <c r="B57">
        <f>_xlfn.XLOOKUP(A57,Invoice_Data!A57,Invoice_Data!E57)</f>
        <v>66</v>
      </c>
      <c r="C57">
        <f>_xlfn.XLOOKUP(A57,Delivery_Order!B57,Delivery_Order!C57)</f>
        <v>66</v>
      </c>
      <c r="D57" t="str">
        <f t="shared" si="0"/>
        <v>MATCH</v>
      </c>
    </row>
    <row r="58" spans="1:4" x14ac:dyDescent="0.45">
      <c r="A58" t="s">
        <v>145</v>
      </c>
      <c r="B58">
        <f>_xlfn.XLOOKUP(A58,Invoice_Data!A58,Invoice_Data!E58)</f>
        <v>52</v>
      </c>
      <c r="C58">
        <f>_xlfn.XLOOKUP(A58,Delivery_Order!B58,Delivery_Order!C58)</f>
        <v>52</v>
      </c>
      <c r="D58" t="str">
        <f t="shared" si="0"/>
        <v>MATCH</v>
      </c>
    </row>
    <row r="59" spans="1:4" x14ac:dyDescent="0.45">
      <c r="A59" t="s">
        <v>147</v>
      </c>
      <c r="B59">
        <f>_xlfn.XLOOKUP(A59,Invoice_Data!A59,Invoice_Data!E59)</f>
        <v>79</v>
      </c>
      <c r="C59">
        <f>_xlfn.XLOOKUP(A59,Delivery_Order!B59,Delivery_Order!C59)</f>
        <v>79</v>
      </c>
      <c r="D59" t="str">
        <f t="shared" si="0"/>
        <v>MATCH</v>
      </c>
    </row>
    <row r="60" spans="1:4" x14ac:dyDescent="0.45">
      <c r="A60" t="s">
        <v>149</v>
      </c>
      <c r="B60">
        <f>_xlfn.XLOOKUP(A60,Invoice_Data!A60,Invoice_Data!E60)</f>
        <v>75</v>
      </c>
      <c r="C60">
        <f>_xlfn.XLOOKUP(A60,Delivery_Order!B60,Delivery_Order!C60)</f>
        <v>75</v>
      </c>
      <c r="D60" t="str">
        <f t="shared" si="0"/>
        <v>MATCH</v>
      </c>
    </row>
    <row r="61" spans="1:4" x14ac:dyDescent="0.45">
      <c r="A61" t="s">
        <v>151</v>
      </c>
      <c r="B61">
        <f>_xlfn.XLOOKUP(A61,Invoice_Data!A61,Invoice_Data!E61)</f>
        <v>98</v>
      </c>
      <c r="C61">
        <f>_xlfn.XLOOKUP(A61,Delivery_Order!B61,Delivery_Order!C61)</f>
        <v>98</v>
      </c>
      <c r="D61" t="str">
        <f t="shared" si="0"/>
        <v>MATCH</v>
      </c>
    </row>
    <row r="62" spans="1:4" x14ac:dyDescent="0.45">
      <c r="A62" t="s">
        <v>154</v>
      </c>
      <c r="B62">
        <f>_xlfn.XLOOKUP(A62,Invoice_Data!A62,Invoice_Data!E62)</f>
        <v>63</v>
      </c>
      <c r="C62">
        <f>_xlfn.XLOOKUP(A62,Delivery_Order!B62,Delivery_Order!C62)</f>
        <v>63</v>
      </c>
      <c r="D62" t="str">
        <f t="shared" si="0"/>
        <v>MATCH</v>
      </c>
    </row>
    <row r="63" spans="1:4" x14ac:dyDescent="0.45">
      <c r="A63" t="s">
        <v>157</v>
      </c>
      <c r="B63">
        <f>_xlfn.XLOOKUP(A63,Invoice_Data!A63,Invoice_Data!E63)</f>
        <v>53</v>
      </c>
      <c r="C63">
        <f>_xlfn.XLOOKUP(A63,Delivery_Order!B63,Delivery_Order!C63)</f>
        <v>53</v>
      </c>
      <c r="D63" t="str">
        <f t="shared" si="0"/>
        <v>MATCH</v>
      </c>
    </row>
    <row r="64" spans="1:4" x14ac:dyDescent="0.45">
      <c r="A64" t="s">
        <v>159</v>
      </c>
      <c r="B64">
        <f>_xlfn.XLOOKUP(A64,Invoice_Data!A64,Invoice_Data!E64)</f>
        <v>94</v>
      </c>
      <c r="C64">
        <f>_xlfn.XLOOKUP(A64,Delivery_Order!B64,Delivery_Order!C64)</f>
        <v>94</v>
      </c>
      <c r="D64" t="str">
        <f t="shared" si="0"/>
        <v>MATCH</v>
      </c>
    </row>
    <row r="65" spans="1:4" x14ac:dyDescent="0.45">
      <c r="A65" t="s">
        <v>161</v>
      </c>
      <c r="B65">
        <f>_xlfn.XLOOKUP(A65,Invoice_Data!A65,Invoice_Data!E65)</f>
        <v>81</v>
      </c>
      <c r="C65">
        <f>_xlfn.XLOOKUP(A65,Delivery_Order!B65,Delivery_Order!C65)</f>
        <v>81</v>
      </c>
      <c r="D65" t="str">
        <f t="shared" si="0"/>
        <v>MATCH</v>
      </c>
    </row>
    <row r="66" spans="1:4" x14ac:dyDescent="0.45">
      <c r="A66" t="s">
        <v>163</v>
      </c>
      <c r="B66">
        <f>_xlfn.XLOOKUP(A66,Invoice_Data!A66,Invoice_Data!E66)</f>
        <v>100</v>
      </c>
      <c r="C66">
        <f>_xlfn.XLOOKUP(A66,Delivery_Order!B66,Delivery_Order!C66)</f>
        <v>100</v>
      </c>
      <c r="D66" t="str">
        <f t="shared" si="0"/>
        <v>MATCH</v>
      </c>
    </row>
    <row r="67" spans="1:4" x14ac:dyDescent="0.45">
      <c r="A67" t="s">
        <v>165</v>
      </c>
      <c r="B67">
        <f>_xlfn.XLOOKUP(A67,Invoice_Data!A67,Invoice_Data!E67)</f>
        <v>18</v>
      </c>
      <c r="C67">
        <f>_xlfn.XLOOKUP(A67,Delivery_Order!B67,Delivery_Order!C67)</f>
        <v>18</v>
      </c>
      <c r="D67" t="str">
        <f t="shared" ref="D67:D130" si="1">IF(B67=C67,"MATCH","MISSMATCH")</f>
        <v>MATCH</v>
      </c>
    </row>
    <row r="68" spans="1:4" x14ac:dyDescent="0.45">
      <c r="A68" t="s">
        <v>167</v>
      </c>
      <c r="B68">
        <f>_xlfn.XLOOKUP(A68,Invoice_Data!A68,Invoice_Data!E68)</f>
        <v>52</v>
      </c>
      <c r="C68">
        <f>_xlfn.XLOOKUP(A68,Delivery_Order!B68,Delivery_Order!C68)</f>
        <v>52</v>
      </c>
      <c r="D68" t="str">
        <f t="shared" si="1"/>
        <v>MATCH</v>
      </c>
    </row>
    <row r="69" spans="1:4" x14ac:dyDescent="0.45">
      <c r="A69" t="s">
        <v>169</v>
      </c>
      <c r="B69">
        <f>_xlfn.XLOOKUP(A69,Invoice_Data!A69,Invoice_Data!E69)</f>
        <v>9</v>
      </c>
      <c r="C69">
        <f>_xlfn.XLOOKUP(A69,Delivery_Order!B69,Delivery_Order!C69)</f>
        <v>9</v>
      </c>
      <c r="D69" t="str">
        <f t="shared" si="1"/>
        <v>MATCH</v>
      </c>
    </row>
    <row r="70" spans="1:4" x14ac:dyDescent="0.45">
      <c r="A70" t="s">
        <v>171</v>
      </c>
      <c r="B70">
        <f>_xlfn.XLOOKUP(A70,Invoice_Data!A70,Invoice_Data!E70)</f>
        <v>61</v>
      </c>
      <c r="C70">
        <f>_xlfn.XLOOKUP(A70,Delivery_Order!B70,Delivery_Order!C70)</f>
        <v>61</v>
      </c>
      <c r="D70" t="str">
        <f t="shared" si="1"/>
        <v>MATCH</v>
      </c>
    </row>
    <row r="71" spans="1:4" x14ac:dyDescent="0.45">
      <c r="A71" t="s">
        <v>174</v>
      </c>
      <c r="B71">
        <f>_xlfn.XLOOKUP(A71,Invoice_Data!A71,Invoice_Data!E71)</f>
        <v>60</v>
      </c>
      <c r="C71">
        <f>_xlfn.XLOOKUP(A71,Delivery_Order!B71,Delivery_Order!C71)</f>
        <v>60</v>
      </c>
      <c r="D71" t="str">
        <f t="shared" si="1"/>
        <v>MATCH</v>
      </c>
    </row>
    <row r="72" spans="1:4" x14ac:dyDescent="0.45">
      <c r="A72" t="s">
        <v>175</v>
      </c>
      <c r="B72">
        <f>_xlfn.XLOOKUP(A72,Invoice_Data!A72,Invoice_Data!E72)</f>
        <v>74</v>
      </c>
      <c r="C72">
        <f>_xlfn.XLOOKUP(A72,Delivery_Order!B72,Delivery_Order!C72)</f>
        <v>74</v>
      </c>
      <c r="D72" t="str">
        <f t="shared" si="1"/>
        <v>MATCH</v>
      </c>
    </row>
    <row r="73" spans="1:4" x14ac:dyDescent="0.45">
      <c r="A73" t="s">
        <v>177</v>
      </c>
      <c r="B73">
        <f>_xlfn.XLOOKUP(A73,Invoice_Data!A73,Invoice_Data!E73)</f>
        <v>63</v>
      </c>
      <c r="C73">
        <f>_xlfn.XLOOKUP(A73,Delivery_Order!B73,Delivery_Order!C73)</f>
        <v>63</v>
      </c>
      <c r="D73" t="str">
        <f t="shared" si="1"/>
        <v>MATCH</v>
      </c>
    </row>
    <row r="74" spans="1:4" x14ac:dyDescent="0.45">
      <c r="A74" t="s">
        <v>180</v>
      </c>
      <c r="B74">
        <f>_xlfn.XLOOKUP(A74,Invoice_Data!A74,Invoice_Data!E74)</f>
        <v>39</v>
      </c>
      <c r="C74">
        <f>_xlfn.XLOOKUP(A74,Delivery_Order!B74,Delivery_Order!C74)</f>
        <v>39</v>
      </c>
      <c r="D74" t="str">
        <f t="shared" si="1"/>
        <v>MATCH</v>
      </c>
    </row>
    <row r="75" spans="1:4" x14ac:dyDescent="0.45">
      <c r="A75" t="s">
        <v>182</v>
      </c>
      <c r="B75">
        <f>_xlfn.XLOOKUP(A75,Invoice_Data!A75,Invoice_Data!E75)</f>
        <v>55</v>
      </c>
      <c r="C75">
        <f>_xlfn.XLOOKUP(A75,Delivery_Order!B75,Delivery_Order!C75)</f>
        <v>55</v>
      </c>
      <c r="D75" t="str">
        <f t="shared" si="1"/>
        <v>MATCH</v>
      </c>
    </row>
    <row r="76" spans="1:4" x14ac:dyDescent="0.45">
      <c r="A76" t="s">
        <v>183</v>
      </c>
      <c r="B76">
        <f>_xlfn.XLOOKUP(A76,Invoice_Data!A76,Invoice_Data!E76)</f>
        <v>22</v>
      </c>
      <c r="C76">
        <f>_xlfn.XLOOKUP(A76,Delivery_Order!B76,Delivery_Order!C76)</f>
        <v>22</v>
      </c>
      <c r="D76" t="str">
        <f t="shared" si="1"/>
        <v>MATCH</v>
      </c>
    </row>
    <row r="77" spans="1:4" x14ac:dyDescent="0.45">
      <c r="A77" t="s">
        <v>185</v>
      </c>
      <c r="B77">
        <f>_xlfn.XLOOKUP(A77,Invoice_Data!A77,Invoice_Data!E77)</f>
        <v>64</v>
      </c>
      <c r="C77">
        <f>_xlfn.XLOOKUP(A77,Delivery_Order!B77,Delivery_Order!C77)</f>
        <v>64</v>
      </c>
      <c r="D77" t="str">
        <f t="shared" si="1"/>
        <v>MATCH</v>
      </c>
    </row>
    <row r="78" spans="1:4" x14ac:dyDescent="0.45">
      <c r="A78" t="s">
        <v>188</v>
      </c>
      <c r="B78">
        <f>_xlfn.XLOOKUP(A78,Invoice_Data!A78,Invoice_Data!E78)</f>
        <v>12</v>
      </c>
      <c r="C78">
        <f>_xlfn.XLOOKUP(A78,Delivery_Order!B78,Delivery_Order!C78)</f>
        <v>12</v>
      </c>
      <c r="D78" t="str">
        <f t="shared" si="1"/>
        <v>MATCH</v>
      </c>
    </row>
    <row r="79" spans="1:4" x14ac:dyDescent="0.45">
      <c r="A79" t="s">
        <v>190</v>
      </c>
      <c r="B79">
        <f>_xlfn.XLOOKUP(A79,Invoice_Data!A79,Invoice_Data!E79)</f>
        <v>92</v>
      </c>
      <c r="C79">
        <f>_xlfn.XLOOKUP(A79,Delivery_Order!B79,Delivery_Order!C79)</f>
        <v>92</v>
      </c>
      <c r="D79" t="str">
        <f t="shared" si="1"/>
        <v>MATCH</v>
      </c>
    </row>
    <row r="80" spans="1:4" x14ac:dyDescent="0.45">
      <c r="A80" t="s">
        <v>193</v>
      </c>
      <c r="B80">
        <f>_xlfn.XLOOKUP(A80,Invoice_Data!A80,Invoice_Data!E80)</f>
        <v>63</v>
      </c>
      <c r="C80">
        <f>_xlfn.XLOOKUP(A80,Delivery_Order!B80,Delivery_Order!C80)</f>
        <v>62</v>
      </c>
      <c r="D80" t="str">
        <f t="shared" si="1"/>
        <v>MISSMATCH</v>
      </c>
    </row>
    <row r="81" spans="1:4" x14ac:dyDescent="0.45">
      <c r="A81" t="s">
        <v>195</v>
      </c>
      <c r="B81">
        <f>_xlfn.XLOOKUP(A81,Invoice_Data!A81,Invoice_Data!E81)</f>
        <v>42</v>
      </c>
      <c r="C81">
        <f>_xlfn.XLOOKUP(A81,Delivery_Order!B81,Delivery_Order!C81)</f>
        <v>42</v>
      </c>
      <c r="D81" t="str">
        <f t="shared" si="1"/>
        <v>MATCH</v>
      </c>
    </row>
    <row r="82" spans="1:4" x14ac:dyDescent="0.45">
      <c r="A82" t="s">
        <v>197</v>
      </c>
      <c r="B82">
        <f>_xlfn.XLOOKUP(A82,Invoice_Data!A82,Invoice_Data!E82)</f>
        <v>38</v>
      </c>
      <c r="C82">
        <f>_xlfn.XLOOKUP(A82,Delivery_Order!B82,Delivery_Order!C82)</f>
        <v>38</v>
      </c>
      <c r="D82" t="str">
        <f t="shared" si="1"/>
        <v>MATCH</v>
      </c>
    </row>
    <row r="83" spans="1:4" x14ac:dyDescent="0.45">
      <c r="A83" t="s">
        <v>198</v>
      </c>
      <c r="B83">
        <f>_xlfn.XLOOKUP(A83,Invoice_Data!A83,Invoice_Data!E83)</f>
        <v>81</v>
      </c>
      <c r="C83">
        <f>_xlfn.XLOOKUP(A83,Delivery_Order!B83,Delivery_Order!C83)</f>
        <v>81</v>
      </c>
      <c r="D83" t="str">
        <f t="shared" si="1"/>
        <v>MATCH</v>
      </c>
    </row>
    <row r="84" spans="1:4" x14ac:dyDescent="0.45">
      <c r="A84" t="s">
        <v>199</v>
      </c>
      <c r="B84">
        <f>_xlfn.XLOOKUP(A84,Invoice_Data!A84,Invoice_Data!E84)</f>
        <v>57</v>
      </c>
      <c r="C84">
        <f>_xlfn.XLOOKUP(A84,Delivery_Order!B84,Delivery_Order!C84)</f>
        <v>57</v>
      </c>
      <c r="D84" t="str">
        <f t="shared" si="1"/>
        <v>MATCH</v>
      </c>
    </row>
    <row r="85" spans="1:4" x14ac:dyDescent="0.45">
      <c r="A85" t="s">
        <v>201</v>
      </c>
      <c r="B85">
        <f>_xlfn.XLOOKUP(A85,Invoice_Data!A85,Invoice_Data!E85)</f>
        <v>20</v>
      </c>
      <c r="C85">
        <f>_xlfn.XLOOKUP(A85,Delivery_Order!B85,Delivery_Order!C85)</f>
        <v>20</v>
      </c>
      <c r="D85" t="str">
        <f t="shared" si="1"/>
        <v>MATCH</v>
      </c>
    </row>
    <row r="86" spans="1:4" x14ac:dyDescent="0.45">
      <c r="A86" t="s">
        <v>203</v>
      </c>
      <c r="B86">
        <f>_xlfn.XLOOKUP(A86,Invoice_Data!A86,Invoice_Data!E86)</f>
        <v>53</v>
      </c>
      <c r="C86">
        <f>_xlfn.XLOOKUP(A86,Delivery_Order!B86,Delivery_Order!C86)</f>
        <v>53</v>
      </c>
      <c r="D86" t="str">
        <f t="shared" si="1"/>
        <v>MATCH</v>
      </c>
    </row>
    <row r="87" spans="1:4" x14ac:dyDescent="0.45">
      <c r="A87" t="s">
        <v>205</v>
      </c>
      <c r="B87">
        <f>_xlfn.XLOOKUP(A87,Invoice_Data!A87,Invoice_Data!E87)</f>
        <v>34</v>
      </c>
      <c r="C87">
        <f>_xlfn.XLOOKUP(A87,Delivery_Order!B87,Delivery_Order!C87)</f>
        <v>34</v>
      </c>
      <c r="D87" t="str">
        <f t="shared" si="1"/>
        <v>MATCH</v>
      </c>
    </row>
    <row r="88" spans="1:4" x14ac:dyDescent="0.45">
      <c r="A88" t="s">
        <v>207</v>
      </c>
      <c r="B88">
        <f>_xlfn.XLOOKUP(A88,Invoice_Data!A88,Invoice_Data!E88)</f>
        <v>21</v>
      </c>
      <c r="C88">
        <f>_xlfn.XLOOKUP(A88,Delivery_Order!B88,Delivery_Order!C88)</f>
        <v>21</v>
      </c>
      <c r="D88" t="str">
        <f t="shared" si="1"/>
        <v>MATCH</v>
      </c>
    </row>
    <row r="89" spans="1:4" x14ac:dyDescent="0.45">
      <c r="A89" t="s">
        <v>209</v>
      </c>
      <c r="B89">
        <f>_xlfn.XLOOKUP(A89,Invoice_Data!A89,Invoice_Data!E89)</f>
        <v>56</v>
      </c>
      <c r="C89">
        <f>_xlfn.XLOOKUP(A89,Delivery_Order!B89,Delivery_Order!C89)</f>
        <v>56</v>
      </c>
      <c r="D89" t="str">
        <f t="shared" si="1"/>
        <v>MATCH</v>
      </c>
    </row>
    <row r="90" spans="1:4" x14ac:dyDescent="0.45">
      <c r="A90" t="s">
        <v>210</v>
      </c>
      <c r="B90">
        <f>_xlfn.XLOOKUP(A90,Invoice_Data!A90,Invoice_Data!E90)</f>
        <v>83</v>
      </c>
      <c r="C90">
        <f>_xlfn.XLOOKUP(A90,Delivery_Order!B90,Delivery_Order!C90)</f>
        <v>83</v>
      </c>
      <c r="D90" t="str">
        <f t="shared" si="1"/>
        <v>MATCH</v>
      </c>
    </row>
    <row r="91" spans="1:4" x14ac:dyDescent="0.45">
      <c r="A91" t="s">
        <v>211</v>
      </c>
      <c r="B91">
        <f>_xlfn.XLOOKUP(A91,Invoice_Data!A91,Invoice_Data!E91)</f>
        <v>54</v>
      </c>
      <c r="C91">
        <f>_xlfn.XLOOKUP(A91,Delivery_Order!B91,Delivery_Order!C91)</f>
        <v>54</v>
      </c>
      <c r="D91" t="str">
        <f t="shared" si="1"/>
        <v>MATCH</v>
      </c>
    </row>
    <row r="92" spans="1:4" x14ac:dyDescent="0.45">
      <c r="A92" t="s">
        <v>213</v>
      </c>
      <c r="B92">
        <f>_xlfn.XLOOKUP(A92,Invoice_Data!A92,Invoice_Data!E92)</f>
        <v>13</v>
      </c>
      <c r="C92">
        <f>_xlfn.XLOOKUP(A92,Delivery_Order!B92,Delivery_Order!C92)</f>
        <v>13</v>
      </c>
      <c r="D92" t="str">
        <f t="shared" si="1"/>
        <v>MATCH</v>
      </c>
    </row>
    <row r="93" spans="1:4" x14ac:dyDescent="0.45">
      <c r="A93" t="s">
        <v>215</v>
      </c>
      <c r="B93">
        <f>_xlfn.XLOOKUP(A93,Invoice_Data!A93,Invoice_Data!E93)</f>
        <v>55</v>
      </c>
      <c r="C93">
        <f>_xlfn.XLOOKUP(A93,Delivery_Order!B93,Delivery_Order!C93)</f>
        <v>55</v>
      </c>
      <c r="D93" t="str">
        <f t="shared" si="1"/>
        <v>MATCH</v>
      </c>
    </row>
    <row r="94" spans="1:4" x14ac:dyDescent="0.45">
      <c r="A94" t="s">
        <v>217</v>
      </c>
      <c r="B94">
        <f>_xlfn.XLOOKUP(A94,Invoice_Data!A94,Invoice_Data!E94)</f>
        <v>16</v>
      </c>
      <c r="C94">
        <f>_xlfn.XLOOKUP(A94,Delivery_Order!B94,Delivery_Order!C94)</f>
        <v>16</v>
      </c>
      <c r="D94" t="str">
        <f t="shared" si="1"/>
        <v>MATCH</v>
      </c>
    </row>
    <row r="95" spans="1:4" x14ac:dyDescent="0.45">
      <c r="A95" t="s">
        <v>219</v>
      </c>
      <c r="B95">
        <f>_xlfn.XLOOKUP(A95,Invoice_Data!A95,Invoice_Data!E95)</f>
        <v>94</v>
      </c>
      <c r="C95">
        <f>_xlfn.XLOOKUP(A95,Delivery_Order!B95,Delivery_Order!C95)</f>
        <v>94</v>
      </c>
      <c r="D95" t="str">
        <f t="shared" si="1"/>
        <v>MATCH</v>
      </c>
    </row>
    <row r="96" spans="1:4" x14ac:dyDescent="0.45">
      <c r="A96" t="s">
        <v>221</v>
      </c>
      <c r="B96">
        <f>_xlfn.XLOOKUP(A96,Invoice_Data!A96,Invoice_Data!E96)</f>
        <v>18</v>
      </c>
      <c r="C96">
        <f>_xlfn.XLOOKUP(A96,Delivery_Order!B96,Delivery_Order!C96)</f>
        <v>18</v>
      </c>
      <c r="D96" t="str">
        <f t="shared" si="1"/>
        <v>MATCH</v>
      </c>
    </row>
    <row r="97" spans="1:4" x14ac:dyDescent="0.45">
      <c r="A97" t="s">
        <v>223</v>
      </c>
      <c r="B97">
        <f>_xlfn.XLOOKUP(A97,Invoice_Data!A97,Invoice_Data!E97)</f>
        <v>84</v>
      </c>
      <c r="C97">
        <f>_xlfn.XLOOKUP(A97,Delivery_Order!B97,Delivery_Order!C97)</f>
        <v>84</v>
      </c>
      <c r="D97" t="str">
        <f t="shared" si="1"/>
        <v>MATCH</v>
      </c>
    </row>
    <row r="98" spans="1:4" x14ac:dyDescent="0.45">
      <c r="A98" t="s">
        <v>224</v>
      </c>
      <c r="B98">
        <f>_xlfn.XLOOKUP(A98,Invoice_Data!A98,Invoice_Data!E98)</f>
        <v>10</v>
      </c>
      <c r="C98">
        <f>_xlfn.XLOOKUP(A98,Delivery_Order!B98,Delivery_Order!C98)</f>
        <v>10</v>
      </c>
      <c r="D98" t="str">
        <f t="shared" si="1"/>
        <v>MATCH</v>
      </c>
    </row>
    <row r="99" spans="1:4" x14ac:dyDescent="0.45">
      <c r="A99" t="s">
        <v>227</v>
      </c>
      <c r="B99">
        <f>_xlfn.XLOOKUP(A99,Invoice_Data!A99,Invoice_Data!E99)</f>
        <v>60</v>
      </c>
      <c r="C99">
        <f>_xlfn.XLOOKUP(A99,Delivery_Order!B99,Delivery_Order!C99)</f>
        <v>60</v>
      </c>
      <c r="D99" t="str">
        <f t="shared" si="1"/>
        <v>MATCH</v>
      </c>
    </row>
    <row r="100" spans="1:4" x14ac:dyDescent="0.45">
      <c r="A100" t="s">
        <v>228</v>
      </c>
      <c r="B100">
        <f>_xlfn.XLOOKUP(A100,Invoice_Data!A100,Invoice_Data!E100)</f>
        <v>77</v>
      </c>
      <c r="C100">
        <f>_xlfn.XLOOKUP(A100,Delivery_Order!B100,Delivery_Order!C100)</f>
        <v>77</v>
      </c>
      <c r="D100" t="str">
        <f t="shared" si="1"/>
        <v>MATCH</v>
      </c>
    </row>
    <row r="101" spans="1:4" x14ac:dyDescent="0.45">
      <c r="A101" t="s">
        <v>231</v>
      </c>
      <c r="B101">
        <f>_xlfn.XLOOKUP(A101,Invoice_Data!A101,Invoice_Data!E101)</f>
        <v>61</v>
      </c>
      <c r="C101">
        <f>_xlfn.XLOOKUP(A101,Delivery_Order!B101,Delivery_Order!C101)</f>
        <v>61</v>
      </c>
      <c r="D101" t="str">
        <f t="shared" si="1"/>
        <v>MATCH</v>
      </c>
    </row>
    <row r="102" spans="1:4" x14ac:dyDescent="0.45">
      <c r="A102" t="s">
        <v>233</v>
      </c>
      <c r="B102">
        <f>_xlfn.XLOOKUP(A102,Invoice_Data!A102,Invoice_Data!E102)</f>
        <v>79</v>
      </c>
      <c r="C102">
        <f>_xlfn.XLOOKUP(A102,Delivery_Order!B102,Delivery_Order!C102)</f>
        <v>79</v>
      </c>
      <c r="D102" t="str">
        <f t="shared" si="1"/>
        <v>MATCH</v>
      </c>
    </row>
    <row r="103" spans="1:4" x14ac:dyDescent="0.45">
      <c r="A103" t="s">
        <v>234</v>
      </c>
      <c r="B103">
        <f>_xlfn.XLOOKUP(A103,Invoice_Data!A103,Invoice_Data!E103)</f>
        <v>56</v>
      </c>
      <c r="C103">
        <f>_xlfn.XLOOKUP(A103,Delivery_Order!B103,Delivery_Order!C103)</f>
        <v>56</v>
      </c>
      <c r="D103" t="str">
        <f t="shared" si="1"/>
        <v>MATCH</v>
      </c>
    </row>
    <row r="104" spans="1:4" x14ac:dyDescent="0.45">
      <c r="A104" t="s">
        <v>236</v>
      </c>
      <c r="B104">
        <f>_xlfn.XLOOKUP(A104,Invoice_Data!A104,Invoice_Data!E104)</f>
        <v>24</v>
      </c>
      <c r="C104">
        <f>_xlfn.XLOOKUP(A104,Delivery_Order!B104,Delivery_Order!C104)</f>
        <v>24</v>
      </c>
      <c r="D104" t="str">
        <f t="shared" si="1"/>
        <v>MATCH</v>
      </c>
    </row>
    <row r="105" spans="1:4" x14ac:dyDescent="0.45">
      <c r="A105" t="s">
        <v>238</v>
      </c>
      <c r="B105">
        <f>_xlfn.XLOOKUP(A105,Invoice_Data!A105,Invoice_Data!E105)</f>
        <v>30</v>
      </c>
      <c r="C105">
        <f>_xlfn.XLOOKUP(A105,Delivery_Order!B105,Delivery_Order!C105)</f>
        <v>30</v>
      </c>
      <c r="D105" t="str">
        <f t="shared" si="1"/>
        <v>MATCH</v>
      </c>
    </row>
    <row r="106" spans="1:4" x14ac:dyDescent="0.45">
      <c r="A106" t="s">
        <v>240</v>
      </c>
      <c r="B106">
        <f>_xlfn.XLOOKUP(A106,Invoice_Data!A106,Invoice_Data!E106)</f>
        <v>70</v>
      </c>
      <c r="C106">
        <f>_xlfn.XLOOKUP(A106,Delivery_Order!B106,Delivery_Order!C106)</f>
        <v>70</v>
      </c>
      <c r="D106" t="str">
        <f t="shared" si="1"/>
        <v>MATCH</v>
      </c>
    </row>
    <row r="107" spans="1:4" x14ac:dyDescent="0.45">
      <c r="A107" t="s">
        <v>242</v>
      </c>
      <c r="B107">
        <f>_xlfn.XLOOKUP(A107,Invoice_Data!A107,Invoice_Data!E107)</f>
        <v>88</v>
      </c>
      <c r="C107">
        <f>_xlfn.XLOOKUP(A107,Delivery_Order!B107,Delivery_Order!C107)</f>
        <v>88</v>
      </c>
      <c r="D107" t="str">
        <f t="shared" si="1"/>
        <v>MATCH</v>
      </c>
    </row>
    <row r="108" spans="1:4" x14ac:dyDescent="0.45">
      <c r="A108" t="s">
        <v>244</v>
      </c>
      <c r="B108">
        <f>_xlfn.XLOOKUP(A108,Invoice_Data!A108,Invoice_Data!E108)</f>
        <v>48</v>
      </c>
      <c r="C108">
        <f>_xlfn.XLOOKUP(A108,Delivery_Order!B108,Delivery_Order!C108)</f>
        <v>48</v>
      </c>
      <c r="D108" t="str">
        <f t="shared" si="1"/>
        <v>MATCH</v>
      </c>
    </row>
    <row r="109" spans="1:4" x14ac:dyDescent="0.45">
      <c r="A109" t="s">
        <v>246</v>
      </c>
      <c r="B109">
        <f>_xlfn.XLOOKUP(A109,Invoice_Data!A109,Invoice_Data!E109)</f>
        <v>51</v>
      </c>
      <c r="C109">
        <f>_xlfn.XLOOKUP(A109,Delivery_Order!B109,Delivery_Order!C109)</f>
        <v>51</v>
      </c>
      <c r="D109" t="str">
        <f t="shared" si="1"/>
        <v>MATCH</v>
      </c>
    </row>
    <row r="110" spans="1:4" x14ac:dyDescent="0.45">
      <c r="A110" t="s">
        <v>247</v>
      </c>
      <c r="B110">
        <f>_xlfn.XLOOKUP(A110,Invoice_Data!A110,Invoice_Data!E110)</f>
        <v>58</v>
      </c>
      <c r="C110">
        <f>_xlfn.XLOOKUP(A110,Delivery_Order!B110,Delivery_Order!C110)</f>
        <v>58</v>
      </c>
      <c r="D110" t="str">
        <f t="shared" si="1"/>
        <v>MATCH</v>
      </c>
    </row>
    <row r="111" spans="1:4" x14ac:dyDescent="0.45">
      <c r="A111" t="s">
        <v>248</v>
      </c>
      <c r="B111">
        <f>_xlfn.XLOOKUP(A111,Invoice_Data!A111,Invoice_Data!E111)</f>
        <v>36</v>
      </c>
      <c r="C111">
        <f>_xlfn.XLOOKUP(A111,Delivery_Order!B111,Delivery_Order!C111)</f>
        <v>36</v>
      </c>
      <c r="D111" t="str">
        <f t="shared" si="1"/>
        <v>MATCH</v>
      </c>
    </row>
    <row r="112" spans="1:4" x14ac:dyDescent="0.45">
      <c r="A112" t="s">
        <v>250</v>
      </c>
      <c r="B112">
        <f>_xlfn.XLOOKUP(A112,Invoice_Data!A112,Invoice_Data!E112)</f>
        <v>96</v>
      </c>
      <c r="C112">
        <f>_xlfn.XLOOKUP(A112,Delivery_Order!B112,Delivery_Order!C112)</f>
        <v>96</v>
      </c>
      <c r="D112" t="str">
        <f t="shared" si="1"/>
        <v>MATCH</v>
      </c>
    </row>
    <row r="113" spans="1:4" x14ac:dyDescent="0.45">
      <c r="A113" t="s">
        <v>251</v>
      </c>
      <c r="B113">
        <f>_xlfn.XLOOKUP(A113,Invoice_Data!A113,Invoice_Data!E113)</f>
        <v>52</v>
      </c>
      <c r="C113">
        <f>_xlfn.XLOOKUP(A113,Delivery_Order!B113,Delivery_Order!C113)</f>
        <v>52</v>
      </c>
      <c r="D113" t="str">
        <f t="shared" si="1"/>
        <v>MATCH</v>
      </c>
    </row>
    <row r="114" spans="1:4" x14ac:dyDescent="0.45">
      <c r="A114" t="s">
        <v>253</v>
      </c>
      <c r="B114">
        <f>_xlfn.XLOOKUP(A114,Invoice_Data!A114,Invoice_Data!E114)</f>
        <v>35</v>
      </c>
      <c r="C114">
        <f>_xlfn.XLOOKUP(A114,Delivery_Order!B114,Delivery_Order!C114)</f>
        <v>35</v>
      </c>
      <c r="D114" t="str">
        <f t="shared" si="1"/>
        <v>MATCH</v>
      </c>
    </row>
    <row r="115" spans="1:4" x14ac:dyDescent="0.45">
      <c r="A115" t="s">
        <v>255</v>
      </c>
      <c r="B115">
        <f>_xlfn.XLOOKUP(A115,Invoice_Data!A115,Invoice_Data!E115)</f>
        <v>56</v>
      </c>
      <c r="C115">
        <f>_xlfn.XLOOKUP(A115,Delivery_Order!B115,Delivery_Order!C115)</f>
        <v>56</v>
      </c>
      <c r="D115" t="str">
        <f t="shared" si="1"/>
        <v>MATCH</v>
      </c>
    </row>
    <row r="116" spans="1:4" x14ac:dyDescent="0.45">
      <c r="A116" t="s">
        <v>256</v>
      </c>
      <c r="B116">
        <f>_xlfn.XLOOKUP(A116,Invoice_Data!A116,Invoice_Data!E116)</f>
        <v>95</v>
      </c>
      <c r="C116">
        <f>_xlfn.XLOOKUP(A116,Delivery_Order!B116,Delivery_Order!C116)</f>
        <v>91</v>
      </c>
      <c r="D116" t="str">
        <f t="shared" si="1"/>
        <v>MISSMATCH</v>
      </c>
    </row>
    <row r="117" spans="1:4" x14ac:dyDescent="0.45">
      <c r="A117" t="s">
        <v>258</v>
      </c>
      <c r="B117">
        <f>_xlfn.XLOOKUP(A117,Invoice_Data!A117,Invoice_Data!E117)</f>
        <v>87</v>
      </c>
      <c r="C117">
        <f>_xlfn.XLOOKUP(A117,Delivery_Order!B117,Delivery_Order!C117)</f>
        <v>87</v>
      </c>
      <c r="D117" t="str">
        <f t="shared" si="1"/>
        <v>MATCH</v>
      </c>
    </row>
    <row r="118" spans="1:4" x14ac:dyDescent="0.45">
      <c r="A118" t="s">
        <v>260</v>
      </c>
      <c r="B118">
        <f>_xlfn.XLOOKUP(A118,Invoice_Data!A118,Invoice_Data!E118)</f>
        <v>69</v>
      </c>
      <c r="C118">
        <f>_xlfn.XLOOKUP(A118,Delivery_Order!B118,Delivery_Order!C118)</f>
        <v>69</v>
      </c>
      <c r="D118" t="str">
        <f t="shared" si="1"/>
        <v>MATCH</v>
      </c>
    </row>
    <row r="119" spans="1:4" x14ac:dyDescent="0.45">
      <c r="A119" t="s">
        <v>262</v>
      </c>
      <c r="B119">
        <f>_xlfn.XLOOKUP(A119,Invoice_Data!A119,Invoice_Data!E119)</f>
        <v>79</v>
      </c>
      <c r="C119">
        <f>_xlfn.XLOOKUP(A119,Delivery_Order!B119,Delivery_Order!C119)</f>
        <v>79</v>
      </c>
      <c r="D119" t="str">
        <f t="shared" si="1"/>
        <v>MATCH</v>
      </c>
    </row>
    <row r="120" spans="1:4" x14ac:dyDescent="0.45">
      <c r="A120" t="s">
        <v>263</v>
      </c>
      <c r="B120">
        <f>_xlfn.XLOOKUP(A120,Invoice_Data!A120,Invoice_Data!E120)</f>
        <v>86</v>
      </c>
      <c r="C120">
        <f>_xlfn.XLOOKUP(A120,Delivery_Order!B120,Delivery_Order!C120)</f>
        <v>86</v>
      </c>
      <c r="D120" t="str">
        <f t="shared" si="1"/>
        <v>MATCH</v>
      </c>
    </row>
    <row r="121" spans="1:4" x14ac:dyDescent="0.45">
      <c r="A121" t="s">
        <v>265</v>
      </c>
      <c r="B121">
        <f>_xlfn.XLOOKUP(A121,Invoice_Data!A121,Invoice_Data!E121)</f>
        <v>88</v>
      </c>
      <c r="C121">
        <f>_xlfn.XLOOKUP(A121,Delivery_Order!B121,Delivery_Order!C121)</f>
        <v>88</v>
      </c>
      <c r="D121" t="str">
        <f t="shared" si="1"/>
        <v>MATCH</v>
      </c>
    </row>
    <row r="122" spans="1:4" x14ac:dyDescent="0.45">
      <c r="A122" t="s">
        <v>267</v>
      </c>
      <c r="B122">
        <f>_xlfn.XLOOKUP(A122,Invoice_Data!A122,Invoice_Data!E122)</f>
        <v>22</v>
      </c>
      <c r="C122">
        <f>_xlfn.XLOOKUP(A122,Delivery_Order!B122,Delivery_Order!C122)</f>
        <v>22</v>
      </c>
      <c r="D122" t="str">
        <f t="shared" si="1"/>
        <v>MATCH</v>
      </c>
    </row>
    <row r="123" spans="1:4" x14ac:dyDescent="0.45">
      <c r="A123" t="s">
        <v>268</v>
      </c>
      <c r="B123">
        <f>_xlfn.XLOOKUP(A123,Invoice_Data!A123,Invoice_Data!E123)</f>
        <v>69</v>
      </c>
      <c r="C123">
        <f>_xlfn.XLOOKUP(A123,Delivery_Order!B123,Delivery_Order!C123)</f>
        <v>69</v>
      </c>
      <c r="D123" t="str">
        <f t="shared" si="1"/>
        <v>MATCH</v>
      </c>
    </row>
    <row r="124" spans="1:4" x14ac:dyDescent="0.45">
      <c r="A124" t="s">
        <v>269</v>
      </c>
      <c r="B124">
        <f>_xlfn.XLOOKUP(A124,Invoice_Data!A124,Invoice_Data!E124)</f>
        <v>42</v>
      </c>
      <c r="C124">
        <f>_xlfn.XLOOKUP(A124,Delivery_Order!B124,Delivery_Order!C124)</f>
        <v>42</v>
      </c>
      <c r="D124" t="str">
        <f t="shared" si="1"/>
        <v>MATCH</v>
      </c>
    </row>
    <row r="125" spans="1:4" x14ac:dyDescent="0.45">
      <c r="A125" t="s">
        <v>270</v>
      </c>
      <c r="B125">
        <f>_xlfn.XLOOKUP(A125,Invoice_Data!A125,Invoice_Data!E125)</f>
        <v>63</v>
      </c>
      <c r="C125">
        <f>_xlfn.XLOOKUP(A125,Delivery_Order!B125,Delivery_Order!C125)</f>
        <v>63</v>
      </c>
      <c r="D125" t="str">
        <f t="shared" si="1"/>
        <v>MATCH</v>
      </c>
    </row>
    <row r="126" spans="1:4" x14ac:dyDescent="0.45">
      <c r="A126" t="s">
        <v>272</v>
      </c>
      <c r="B126">
        <f>_xlfn.XLOOKUP(A126,Invoice_Data!A126,Invoice_Data!E126)</f>
        <v>64</v>
      </c>
      <c r="C126">
        <f>_xlfn.XLOOKUP(A126,Delivery_Order!B126,Delivery_Order!C126)</f>
        <v>64</v>
      </c>
      <c r="D126" t="str">
        <f t="shared" si="1"/>
        <v>MATCH</v>
      </c>
    </row>
    <row r="127" spans="1:4" x14ac:dyDescent="0.45">
      <c r="A127" t="s">
        <v>273</v>
      </c>
      <c r="B127">
        <f>_xlfn.XLOOKUP(A127,Invoice_Data!A127,Invoice_Data!E127)</f>
        <v>16</v>
      </c>
      <c r="C127">
        <f>_xlfn.XLOOKUP(A127,Delivery_Order!B127,Delivery_Order!C127)</f>
        <v>16</v>
      </c>
      <c r="D127" t="str">
        <f t="shared" si="1"/>
        <v>MATCH</v>
      </c>
    </row>
    <row r="128" spans="1:4" x14ac:dyDescent="0.45">
      <c r="A128" t="s">
        <v>275</v>
      </c>
      <c r="B128">
        <f>_xlfn.XLOOKUP(A128,Invoice_Data!A128,Invoice_Data!E128)</f>
        <v>32</v>
      </c>
      <c r="C128">
        <f>_xlfn.XLOOKUP(A128,Delivery_Order!B128,Delivery_Order!C128)</f>
        <v>32</v>
      </c>
      <c r="D128" t="str">
        <f t="shared" si="1"/>
        <v>MATCH</v>
      </c>
    </row>
    <row r="129" spans="1:4" x14ac:dyDescent="0.45">
      <c r="A129" t="s">
        <v>276</v>
      </c>
      <c r="B129">
        <f>_xlfn.XLOOKUP(A129,Invoice_Data!A129,Invoice_Data!E129)</f>
        <v>24</v>
      </c>
      <c r="C129">
        <f>_xlfn.XLOOKUP(A129,Delivery_Order!B129,Delivery_Order!C129)</f>
        <v>24</v>
      </c>
      <c r="D129" t="str">
        <f t="shared" si="1"/>
        <v>MATCH</v>
      </c>
    </row>
    <row r="130" spans="1:4" x14ac:dyDescent="0.45">
      <c r="A130" t="s">
        <v>277</v>
      </c>
      <c r="B130">
        <f>_xlfn.XLOOKUP(A130,Invoice_Data!A130,Invoice_Data!E130)</f>
        <v>20</v>
      </c>
      <c r="C130">
        <f>_xlfn.XLOOKUP(A130,Delivery_Order!B130,Delivery_Order!C130)</f>
        <v>20</v>
      </c>
      <c r="D130" t="str">
        <f t="shared" si="1"/>
        <v>MATCH</v>
      </c>
    </row>
    <row r="131" spans="1:4" x14ac:dyDescent="0.45">
      <c r="A131" t="s">
        <v>279</v>
      </c>
      <c r="B131">
        <f>_xlfn.XLOOKUP(A131,Invoice_Data!A131,Invoice_Data!E131)</f>
        <v>10</v>
      </c>
      <c r="C131">
        <f>_xlfn.XLOOKUP(A131,Delivery_Order!B131,Delivery_Order!C131)</f>
        <v>8</v>
      </c>
      <c r="D131" t="str">
        <f t="shared" ref="D131:D194" si="2">IF(B131=C131,"MATCH","MISSMATCH")</f>
        <v>MISSMATCH</v>
      </c>
    </row>
    <row r="132" spans="1:4" x14ac:dyDescent="0.45">
      <c r="A132" t="s">
        <v>280</v>
      </c>
      <c r="B132">
        <f>_xlfn.XLOOKUP(A132,Invoice_Data!A132,Invoice_Data!E132)</f>
        <v>50</v>
      </c>
      <c r="C132">
        <f>_xlfn.XLOOKUP(A132,Delivery_Order!B132,Delivery_Order!C132)</f>
        <v>50</v>
      </c>
      <c r="D132" t="str">
        <f t="shared" si="2"/>
        <v>MATCH</v>
      </c>
    </row>
    <row r="133" spans="1:4" x14ac:dyDescent="0.45">
      <c r="A133" t="s">
        <v>282</v>
      </c>
      <c r="B133">
        <f>_xlfn.XLOOKUP(A133,Invoice_Data!A133,Invoice_Data!E133)</f>
        <v>9</v>
      </c>
      <c r="C133">
        <f>_xlfn.XLOOKUP(A133,Delivery_Order!B133,Delivery_Order!C133)</f>
        <v>9</v>
      </c>
      <c r="D133" t="str">
        <f t="shared" si="2"/>
        <v>MATCH</v>
      </c>
    </row>
    <row r="134" spans="1:4" x14ac:dyDescent="0.45">
      <c r="A134" t="s">
        <v>283</v>
      </c>
      <c r="B134">
        <f>_xlfn.XLOOKUP(A134,Invoice_Data!A134,Invoice_Data!E134)</f>
        <v>74</v>
      </c>
      <c r="C134">
        <f>_xlfn.XLOOKUP(A134,Delivery_Order!B134,Delivery_Order!C134)</f>
        <v>74</v>
      </c>
      <c r="D134" t="str">
        <f t="shared" si="2"/>
        <v>MATCH</v>
      </c>
    </row>
    <row r="135" spans="1:4" x14ac:dyDescent="0.45">
      <c r="A135" t="s">
        <v>284</v>
      </c>
      <c r="B135">
        <f>_xlfn.XLOOKUP(A135,Invoice_Data!A135,Invoice_Data!E135)</f>
        <v>61</v>
      </c>
      <c r="C135">
        <f>_xlfn.XLOOKUP(A135,Delivery_Order!B135,Delivery_Order!C135)</f>
        <v>61</v>
      </c>
      <c r="D135" t="str">
        <f t="shared" si="2"/>
        <v>MATCH</v>
      </c>
    </row>
    <row r="136" spans="1:4" x14ac:dyDescent="0.45">
      <c r="A136" t="s">
        <v>286</v>
      </c>
      <c r="B136">
        <f>_xlfn.XLOOKUP(A136,Invoice_Data!A136,Invoice_Data!E136)</f>
        <v>41</v>
      </c>
      <c r="C136">
        <f>_xlfn.XLOOKUP(A136,Delivery_Order!B136,Delivery_Order!C136)</f>
        <v>41</v>
      </c>
      <c r="D136" t="str">
        <f t="shared" si="2"/>
        <v>MATCH</v>
      </c>
    </row>
    <row r="137" spans="1:4" x14ac:dyDescent="0.45">
      <c r="A137" t="s">
        <v>287</v>
      </c>
      <c r="B137">
        <f>_xlfn.XLOOKUP(A137,Invoice_Data!A137,Invoice_Data!E137)</f>
        <v>19</v>
      </c>
      <c r="C137">
        <f>_xlfn.XLOOKUP(A137,Delivery_Order!B137,Delivery_Order!C137)</f>
        <v>19</v>
      </c>
      <c r="D137" t="str">
        <f t="shared" si="2"/>
        <v>MATCH</v>
      </c>
    </row>
    <row r="138" spans="1:4" x14ac:dyDescent="0.45">
      <c r="A138" t="s">
        <v>289</v>
      </c>
      <c r="B138">
        <f>_xlfn.XLOOKUP(A138,Invoice_Data!A138,Invoice_Data!E138)</f>
        <v>79</v>
      </c>
      <c r="C138">
        <f>_xlfn.XLOOKUP(A138,Delivery_Order!B138,Delivery_Order!C138)</f>
        <v>79</v>
      </c>
      <c r="D138" t="str">
        <f t="shared" si="2"/>
        <v>MATCH</v>
      </c>
    </row>
    <row r="139" spans="1:4" x14ac:dyDescent="0.45">
      <c r="A139" t="s">
        <v>290</v>
      </c>
      <c r="B139">
        <f>_xlfn.XLOOKUP(A139,Invoice_Data!A139,Invoice_Data!E139)</f>
        <v>43</v>
      </c>
      <c r="C139">
        <f>_xlfn.XLOOKUP(A139,Delivery_Order!B139,Delivery_Order!C139)</f>
        <v>43</v>
      </c>
      <c r="D139" t="str">
        <f t="shared" si="2"/>
        <v>MATCH</v>
      </c>
    </row>
    <row r="140" spans="1:4" x14ac:dyDescent="0.45">
      <c r="A140" t="s">
        <v>292</v>
      </c>
      <c r="B140">
        <f>_xlfn.XLOOKUP(A140,Invoice_Data!A140,Invoice_Data!E140)</f>
        <v>20</v>
      </c>
      <c r="C140">
        <f>_xlfn.XLOOKUP(A140,Delivery_Order!B140,Delivery_Order!C140)</f>
        <v>20</v>
      </c>
      <c r="D140" t="str">
        <f t="shared" si="2"/>
        <v>MATCH</v>
      </c>
    </row>
    <row r="141" spans="1:4" x14ac:dyDescent="0.45">
      <c r="A141" t="s">
        <v>294</v>
      </c>
      <c r="B141">
        <f>_xlfn.XLOOKUP(A141,Invoice_Data!A141,Invoice_Data!E141)</f>
        <v>97</v>
      </c>
      <c r="C141">
        <f>_xlfn.XLOOKUP(A141,Delivery_Order!B141,Delivery_Order!C141)</f>
        <v>97</v>
      </c>
      <c r="D141" t="str">
        <f t="shared" si="2"/>
        <v>MATCH</v>
      </c>
    </row>
    <row r="142" spans="1:4" x14ac:dyDescent="0.45">
      <c r="A142" t="s">
        <v>296</v>
      </c>
      <c r="B142">
        <f>_xlfn.XLOOKUP(A142,Invoice_Data!A142,Invoice_Data!E142)</f>
        <v>82</v>
      </c>
      <c r="C142">
        <f>_xlfn.XLOOKUP(A142,Delivery_Order!B142,Delivery_Order!C142)</f>
        <v>82</v>
      </c>
      <c r="D142" t="str">
        <f t="shared" si="2"/>
        <v>MATCH</v>
      </c>
    </row>
    <row r="143" spans="1:4" x14ac:dyDescent="0.45">
      <c r="A143" t="s">
        <v>297</v>
      </c>
      <c r="B143">
        <f>_xlfn.XLOOKUP(A143,Invoice_Data!A143,Invoice_Data!E143)</f>
        <v>82</v>
      </c>
      <c r="C143">
        <f>_xlfn.XLOOKUP(A143,Delivery_Order!B143,Delivery_Order!C143)</f>
        <v>82</v>
      </c>
      <c r="D143" t="str">
        <f t="shared" si="2"/>
        <v>MATCH</v>
      </c>
    </row>
    <row r="144" spans="1:4" x14ac:dyDescent="0.45">
      <c r="A144" t="s">
        <v>299</v>
      </c>
      <c r="B144">
        <f>_xlfn.XLOOKUP(A144,Invoice_Data!A144,Invoice_Data!E144)</f>
        <v>51</v>
      </c>
      <c r="C144">
        <f>_xlfn.XLOOKUP(A144,Delivery_Order!B144,Delivery_Order!C144)</f>
        <v>51</v>
      </c>
      <c r="D144" t="str">
        <f t="shared" si="2"/>
        <v>MATCH</v>
      </c>
    </row>
    <row r="145" spans="1:4" x14ac:dyDescent="0.45">
      <c r="A145" t="s">
        <v>302</v>
      </c>
      <c r="B145">
        <f>_xlfn.XLOOKUP(A145,Invoice_Data!A145,Invoice_Data!E145)</f>
        <v>79</v>
      </c>
      <c r="C145">
        <f>_xlfn.XLOOKUP(A145,Delivery_Order!B145,Delivery_Order!C145)</f>
        <v>74</v>
      </c>
      <c r="D145" t="str">
        <f t="shared" si="2"/>
        <v>MISSMATCH</v>
      </c>
    </row>
    <row r="146" spans="1:4" x14ac:dyDescent="0.45">
      <c r="A146" t="s">
        <v>303</v>
      </c>
      <c r="B146">
        <f>_xlfn.XLOOKUP(A146,Invoice_Data!A146,Invoice_Data!E146)</f>
        <v>57</v>
      </c>
      <c r="C146">
        <f>_xlfn.XLOOKUP(A146,Delivery_Order!B146,Delivery_Order!C146)</f>
        <v>57</v>
      </c>
      <c r="D146" t="str">
        <f t="shared" si="2"/>
        <v>MATCH</v>
      </c>
    </row>
    <row r="147" spans="1:4" x14ac:dyDescent="0.45">
      <c r="A147" t="s">
        <v>304</v>
      </c>
      <c r="B147">
        <f>_xlfn.XLOOKUP(A147,Invoice_Data!A147,Invoice_Data!E147)</f>
        <v>78</v>
      </c>
      <c r="C147">
        <f>_xlfn.XLOOKUP(A147,Delivery_Order!B147,Delivery_Order!C147)</f>
        <v>78</v>
      </c>
      <c r="D147" t="str">
        <f t="shared" si="2"/>
        <v>MATCH</v>
      </c>
    </row>
    <row r="148" spans="1:4" x14ac:dyDescent="0.45">
      <c r="A148" t="s">
        <v>305</v>
      </c>
      <c r="B148">
        <f>_xlfn.XLOOKUP(A148,Invoice_Data!A148,Invoice_Data!E148)</f>
        <v>96</v>
      </c>
      <c r="C148">
        <f>_xlfn.XLOOKUP(A148,Delivery_Order!B148,Delivery_Order!C148)</f>
        <v>96</v>
      </c>
      <c r="D148" t="str">
        <f t="shared" si="2"/>
        <v>MATCH</v>
      </c>
    </row>
    <row r="149" spans="1:4" x14ac:dyDescent="0.45">
      <c r="A149" t="s">
        <v>308</v>
      </c>
      <c r="B149">
        <f>_xlfn.XLOOKUP(A149,Invoice_Data!A149,Invoice_Data!E149)</f>
        <v>52</v>
      </c>
      <c r="C149">
        <f>_xlfn.XLOOKUP(A149,Delivery_Order!B149,Delivery_Order!C149)</f>
        <v>52</v>
      </c>
      <c r="D149" t="str">
        <f t="shared" si="2"/>
        <v>MATCH</v>
      </c>
    </row>
    <row r="150" spans="1:4" x14ac:dyDescent="0.45">
      <c r="A150" t="s">
        <v>310</v>
      </c>
      <c r="B150">
        <f>_xlfn.XLOOKUP(A150,Invoice_Data!A150,Invoice_Data!E150)</f>
        <v>34</v>
      </c>
      <c r="C150">
        <f>_xlfn.XLOOKUP(A150,Delivery_Order!B150,Delivery_Order!C150)</f>
        <v>29</v>
      </c>
      <c r="D150" t="str">
        <f t="shared" si="2"/>
        <v>MISSMATCH</v>
      </c>
    </row>
    <row r="151" spans="1:4" x14ac:dyDescent="0.45">
      <c r="A151" t="s">
        <v>311</v>
      </c>
      <c r="B151">
        <f>_xlfn.XLOOKUP(A151,Invoice_Data!A151,Invoice_Data!E151)</f>
        <v>83</v>
      </c>
      <c r="C151">
        <f>_xlfn.XLOOKUP(A151,Delivery_Order!B151,Delivery_Order!C151)</f>
        <v>83</v>
      </c>
      <c r="D151" t="str">
        <f t="shared" si="2"/>
        <v>MATCH</v>
      </c>
    </row>
    <row r="152" spans="1:4" x14ac:dyDescent="0.45">
      <c r="A152" t="s">
        <v>313</v>
      </c>
      <c r="B152">
        <f>_xlfn.XLOOKUP(A152,Invoice_Data!A152,Invoice_Data!E152)</f>
        <v>85</v>
      </c>
      <c r="C152">
        <f>_xlfn.XLOOKUP(A152,Delivery_Order!B152,Delivery_Order!C152)</f>
        <v>80</v>
      </c>
      <c r="D152" t="str">
        <f t="shared" si="2"/>
        <v>MISSMATCH</v>
      </c>
    </row>
    <row r="153" spans="1:4" x14ac:dyDescent="0.45">
      <c r="A153" t="s">
        <v>315</v>
      </c>
      <c r="B153">
        <f>_xlfn.XLOOKUP(A153,Invoice_Data!A153,Invoice_Data!E153)</f>
        <v>32</v>
      </c>
      <c r="C153">
        <f>_xlfn.XLOOKUP(A153,Delivery_Order!B153,Delivery_Order!C153)</f>
        <v>32</v>
      </c>
      <c r="D153" t="str">
        <f t="shared" si="2"/>
        <v>MATCH</v>
      </c>
    </row>
    <row r="154" spans="1:4" x14ac:dyDescent="0.45">
      <c r="A154" t="s">
        <v>316</v>
      </c>
      <c r="B154">
        <f>_xlfn.XLOOKUP(A154,Invoice_Data!A154,Invoice_Data!E154)</f>
        <v>18</v>
      </c>
      <c r="C154">
        <f>_xlfn.XLOOKUP(A154,Delivery_Order!B154,Delivery_Order!C154)</f>
        <v>18</v>
      </c>
      <c r="D154" t="str">
        <f t="shared" si="2"/>
        <v>MATCH</v>
      </c>
    </row>
    <row r="155" spans="1:4" x14ac:dyDescent="0.45">
      <c r="A155" t="s">
        <v>318</v>
      </c>
      <c r="B155">
        <f>_xlfn.XLOOKUP(A155,Invoice_Data!A155,Invoice_Data!E155)</f>
        <v>53</v>
      </c>
      <c r="C155">
        <f>_xlfn.XLOOKUP(A155,Delivery_Order!B155,Delivery_Order!C155)</f>
        <v>53</v>
      </c>
      <c r="D155" t="str">
        <f t="shared" si="2"/>
        <v>MATCH</v>
      </c>
    </row>
    <row r="156" spans="1:4" x14ac:dyDescent="0.45">
      <c r="A156" t="s">
        <v>319</v>
      </c>
      <c r="B156">
        <f>_xlfn.XLOOKUP(A156,Invoice_Data!A156,Invoice_Data!E156)</f>
        <v>55</v>
      </c>
      <c r="C156">
        <f>_xlfn.XLOOKUP(A156,Delivery_Order!B156,Delivery_Order!C156)</f>
        <v>55</v>
      </c>
      <c r="D156" t="str">
        <f t="shared" si="2"/>
        <v>MATCH</v>
      </c>
    </row>
    <row r="157" spans="1:4" x14ac:dyDescent="0.45">
      <c r="A157" t="s">
        <v>321</v>
      </c>
      <c r="B157">
        <f>_xlfn.XLOOKUP(A157,Invoice_Data!A157,Invoice_Data!E157)</f>
        <v>82</v>
      </c>
      <c r="C157">
        <f>_xlfn.XLOOKUP(A157,Delivery_Order!B157,Delivery_Order!C157)</f>
        <v>82</v>
      </c>
      <c r="D157" t="str">
        <f t="shared" si="2"/>
        <v>MATCH</v>
      </c>
    </row>
    <row r="158" spans="1:4" x14ac:dyDescent="0.45">
      <c r="A158" t="s">
        <v>323</v>
      </c>
      <c r="B158">
        <f>_xlfn.XLOOKUP(A158,Invoice_Data!A158,Invoice_Data!E158)</f>
        <v>87</v>
      </c>
      <c r="C158">
        <f>_xlfn.XLOOKUP(A158,Delivery_Order!B158,Delivery_Order!C158)</f>
        <v>87</v>
      </c>
      <c r="D158" t="str">
        <f t="shared" si="2"/>
        <v>MATCH</v>
      </c>
    </row>
    <row r="159" spans="1:4" x14ac:dyDescent="0.45">
      <c r="A159" t="s">
        <v>324</v>
      </c>
      <c r="B159">
        <f>_xlfn.XLOOKUP(A159,Invoice_Data!A159,Invoice_Data!E159)</f>
        <v>92</v>
      </c>
      <c r="C159">
        <f>_xlfn.XLOOKUP(A159,Delivery_Order!B159,Delivery_Order!C159)</f>
        <v>92</v>
      </c>
      <c r="D159" t="str">
        <f t="shared" si="2"/>
        <v>MATCH</v>
      </c>
    </row>
    <row r="160" spans="1:4" x14ac:dyDescent="0.45">
      <c r="A160" t="s">
        <v>326</v>
      </c>
      <c r="B160">
        <f>_xlfn.XLOOKUP(A160,Invoice_Data!A160,Invoice_Data!E160)</f>
        <v>17</v>
      </c>
      <c r="C160">
        <f>_xlfn.XLOOKUP(A160,Delivery_Order!B160,Delivery_Order!C160)</f>
        <v>13</v>
      </c>
      <c r="D160" t="str">
        <f t="shared" si="2"/>
        <v>MISSMATCH</v>
      </c>
    </row>
    <row r="161" spans="1:4" x14ac:dyDescent="0.45">
      <c r="A161" t="s">
        <v>328</v>
      </c>
      <c r="B161">
        <f>_xlfn.XLOOKUP(A161,Invoice_Data!A161,Invoice_Data!E161)</f>
        <v>21</v>
      </c>
      <c r="C161">
        <f>_xlfn.XLOOKUP(A161,Delivery_Order!B161,Delivery_Order!C161)</f>
        <v>21</v>
      </c>
      <c r="D161" t="str">
        <f t="shared" si="2"/>
        <v>MATCH</v>
      </c>
    </row>
    <row r="162" spans="1:4" x14ac:dyDescent="0.45">
      <c r="A162" t="s">
        <v>330</v>
      </c>
      <c r="B162">
        <f>_xlfn.XLOOKUP(A162,Invoice_Data!A162,Invoice_Data!E162)</f>
        <v>42</v>
      </c>
      <c r="C162">
        <f>_xlfn.XLOOKUP(A162,Delivery_Order!B162,Delivery_Order!C162)</f>
        <v>42</v>
      </c>
      <c r="D162" t="str">
        <f t="shared" si="2"/>
        <v>MATCH</v>
      </c>
    </row>
    <row r="163" spans="1:4" x14ac:dyDescent="0.45">
      <c r="A163" t="s">
        <v>332</v>
      </c>
      <c r="B163">
        <f>_xlfn.XLOOKUP(A163,Invoice_Data!A163,Invoice_Data!E163)</f>
        <v>8</v>
      </c>
      <c r="C163">
        <f>_xlfn.XLOOKUP(A163,Delivery_Order!B163,Delivery_Order!C163)</f>
        <v>8</v>
      </c>
      <c r="D163" t="str">
        <f t="shared" si="2"/>
        <v>MATCH</v>
      </c>
    </row>
    <row r="164" spans="1:4" x14ac:dyDescent="0.45">
      <c r="A164" t="s">
        <v>334</v>
      </c>
      <c r="B164">
        <f>_xlfn.XLOOKUP(A164,Invoice_Data!A164,Invoice_Data!E164)</f>
        <v>97</v>
      </c>
      <c r="C164">
        <f>_xlfn.XLOOKUP(A164,Delivery_Order!B164,Delivery_Order!C164)</f>
        <v>97</v>
      </c>
      <c r="D164" t="str">
        <f t="shared" si="2"/>
        <v>MATCH</v>
      </c>
    </row>
    <row r="165" spans="1:4" x14ac:dyDescent="0.45">
      <c r="A165" t="s">
        <v>336</v>
      </c>
      <c r="B165">
        <f>_xlfn.XLOOKUP(A165,Invoice_Data!A165,Invoice_Data!E165)</f>
        <v>67</v>
      </c>
      <c r="C165">
        <f>_xlfn.XLOOKUP(A165,Delivery_Order!B165,Delivery_Order!C165)</f>
        <v>67</v>
      </c>
      <c r="D165" t="str">
        <f t="shared" si="2"/>
        <v>MATCH</v>
      </c>
    </row>
    <row r="166" spans="1:4" x14ac:dyDescent="0.45">
      <c r="A166" t="s">
        <v>338</v>
      </c>
      <c r="B166">
        <f>_xlfn.XLOOKUP(A166,Invoice_Data!A166,Invoice_Data!E166)</f>
        <v>82</v>
      </c>
      <c r="C166">
        <f>_xlfn.XLOOKUP(A166,Delivery_Order!B166,Delivery_Order!C166)</f>
        <v>82</v>
      </c>
      <c r="D166" t="str">
        <f t="shared" si="2"/>
        <v>MATCH</v>
      </c>
    </row>
    <row r="167" spans="1:4" x14ac:dyDescent="0.45">
      <c r="A167" t="s">
        <v>339</v>
      </c>
      <c r="B167">
        <f>_xlfn.XLOOKUP(A167,Invoice_Data!A167,Invoice_Data!E167)</f>
        <v>44</v>
      </c>
      <c r="C167">
        <f>_xlfn.XLOOKUP(A167,Delivery_Order!B167,Delivery_Order!C167)</f>
        <v>44</v>
      </c>
      <c r="D167" t="str">
        <f t="shared" si="2"/>
        <v>MATCH</v>
      </c>
    </row>
    <row r="168" spans="1:4" x14ac:dyDescent="0.45">
      <c r="A168" t="s">
        <v>340</v>
      </c>
      <c r="B168">
        <f>_xlfn.XLOOKUP(A168,Invoice_Data!A168,Invoice_Data!E168)</f>
        <v>9</v>
      </c>
      <c r="C168">
        <f>_xlfn.XLOOKUP(A168,Delivery_Order!B168,Delivery_Order!C168)</f>
        <v>9</v>
      </c>
      <c r="D168" t="str">
        <f t="shared" si="2"/>
        <v>MATCH</v>
      </c>
    </row>
    <row r="169" spans="1:4" x14ac:dyDescent="0.45">
      <c r="A169" t="s">
        <v>341</v>
      </c>
      <c r="B169">
        <f>_xlfn.XLOOKUP(A169,Invoice_Data!A169,Invoice_Data!E169)</f>
        <v>77</v>
      </c>
      <c r="C169">
        <f>_xlfn.XLOOKUP(A169,Delivery_Order!B169,Delivery_Order!C169)</f>
        <v>77</v>
      </c>
      <c r="D169" t="str">
        <f t="shared" si="2"/>
        <v>MATCH</v>
      </c>
    </row>
    <row r="170" spans="1:4" x14ac:dyDescent="0.45">
      <c r="A170" t="s">
        <v>342</v>
      </c>
      <c r="B170">
        <f>_xlfn.XLOOKUP(A170,Invoice_Data!A170,Invoice_Data!E170)</f>
        <v>35</v>
      </c>
      <c r="C170">
        <f>_xlfn.XLOOKUP(A170,Delivery_Order!B170,Delivery_Order!C170)</f>
        <v>35</v>
      </c>
      <c r="D170" t="str">
        <f t="shared" si="2"/>
        <v>MATCH</v>
      </c>
    </row>
    <row r="171" spans="1:4" x14ac:dyDescent="0.45">
      <c r="A171" t="s">
        <v>344</v>
      </c>
      <c r="B171">
        <f>_xlfn.XLOOKUP(A171,Invoice_Data!A171,Invoice_Data!E171)</f>
        <v>6</v>
      </c>
      <c r="C171">
        <f>_xlfn.XLOOKUP(A171,Delivery_Order!B171,Delivery_Order!C171)</f>
        <v>6</v>
      </c>
      <c r="D171" t="str">
        <f t="shared" si="2"/>
        <v>MATCH</v>
      </c>
    </row>
    <row r="172" spans="1:4" x14ac:dyDescent="0.45">
      <c r="A172" t="s">
        <v>346</v>
      </c>
      <c r="B172">
        <f>_xlfn.XLOOKUP(A172,Invoice_Data!A172,Invoice_Data!E172)</f>
        <v>21</v>
      </c>
      <c r="C172">
        <f>_xlfn.XLOOKUP(A172,Delivery_Order!B172,Delivery_Order!C172)</f>
        <v>21</v>
      </c>
      <c r="D172" t="str">
        <f t="shared" si="2"/>
        <v>MATCH</v>
      </c>
    </row>
    <row r="173" spans="1:4" x14ac:dyDescent="0.45">
      <c r="A173" t="s">
        <v>347</v>
      </c>
      <c r="B173">
        <f>_xlfn.XLOOKUP(A173,Invoice_Data!A173,Invoice_Data!E173)</f>
        <v>13</v>
      </c>
      <c r="C173">
        <f>_xlfn.XLOOKUP(A173,Delivery_Order!B173,Delivery_Order!C173)</f>
        <v>13</v>
      </c>
      <c r="D173" t="str">
        <f t="shared" si="2"/>
        <v>MATCH</v>
      </c>
    </row>
    <row r="174" spans="1:4" x14ac:dyDescent="0.45">
      <c r="A174" t="s">
        <v>349</v>
      </c>
      <c r="B174">
        <f>_xlfn.XLOOKUP(A174,Invoice_Data!A174,Invoice_Data!E174)</f>
        <v>12</v>
      </c>
      <c r="C174">
        <f>_xlfn.XLOOKUP(A174,Delivery_Order!B174,Delivery_Order!C174)</f>
        <v>12</v>
      </c>
      <c r="D174" t="str">
        <f t="shared" si="2"/>
        <v>MATCH</v>
      </c>
    </row>
    <row r="175" spans="1:4" x14ac:dyDescent="0.45">
      <c r="A175" t="s">
        <v>350</v>
      </c>
      <c r="B175">
        <f>_xlfn.XLOOKUP(A175,Invoice_Data!A175,Invoice_Data!E175)</f>
        <v>7</v>
      </c>
      <c r="C175">
        <f>_xlfn.XLOOKUP(A175,Delivery_Order!B175,Delivery_Order!C175)</f>
        <v>4</v>
      </c>
      <c r="D175" t="str">
        <f t="shared" si="2"/>
        <v>MISSMATCH</v>
      </c>
    </row>
    <row r="176" spans="1:4" x14ac:dyDescent="0.45">
      <c r="A176" t="s">
        <v>351</v>
      </c>
      <c r="B176">
        <f>_xlfn.XLOOKUP(A176,Invoice_Data!A176,Invoice_Data!E176)</f>
        <v>80</v>
      </c>
      <c r="C176">
        <f>_xlfn.XLOOKUP(A176,Delivery_Order!B176,Delivery_Order!C176)</f>
        <v>80</v>
      </c>
      <c r="D176" t="str">
        <f t="shared" si="2"/>
        <v>MATCH</v>
      </c>
    </row>
    <row r="177" spans="1:4" x14ac:dyDescent="0.45">
      <c r="A177" t="s">
        <v>353</v>
      </c>
      <c r="B177">
        <f>_xlfn.XLOOKUP(A177,Invoice_Data!A177,Invoice_Data!E177)</f>
        <v>12</v>
      </c>
      <c r="C177">
        <f>_xlfn.XLOOKUP(A177,Delivery_Order!B177,Delivery_Order!C177)</f>
        <v>12</v>
      </c>
      <c r="D177" t="str">
        <f t="shared" si="2"/>
        <v>MATCH</v>
      </c>
    </row>
    <row r="178" spans="1:4" x14ac:dyDescent="0.45">
      <c r="A178" t="s">
        <v>355</v>
      </c>
      <c r="B178">
        <f>_xlfn.XLOOKUP(A178,Invoice_Data!A178,Invoice_Data!E178)</f>
        <v>50</v>
      </c>
      <c r="C178">
        <f>_xlfn.XLOOKUP(A178,Delivery_Order!B178,Delivery_Order!C178)</f>
        <v>50</v>
      </c>
      <c r="D178" t="str">
        <f t="shared" si="2"/>
        <v>MATCH</v>
      </c>
    </row>
    <row r="179" spans="1:4" x14ac:dyDescent="0.45">
      <c r="A179" t="s">
        <v>356</v>
      </c>
      <c r="B179">
        <f>_xlfn.XLOOKUP(A179,Invoice_Data!A179,Invoice_Data!E179)</f>
        <v>77</v>
      </c>
      <c r="C179">
        <f>_xlfn.XLOOKUP(A179,Delivery_Order!B179,Delivery_Order!C179)</f>
        <v>77</v>
      </c>
      <c r="D179" t="str">
        <f t="shared" si="2"/>
        <v>MATCH</v>
      </c>
    </row>
    <row r="180" spans="1:4" x14ac:dyDescent="0.45">
      <c r="A180" t="s">
        <v>358</v>
      </c>
      <c r="B180">
        <f>_xlfn.XLOOKUP(A180,Invoice_Data!A180,Invoice_Data!E180)</f>
        <v>45</v>
      </c>
      <c r="C180">
        <f>_xlfn.XLOOKUP(A180,Delivery_Order!B180,Delivery_Order!C180)</f>
        <v>45</v>
      </c>
      <c r="D180" t="str">
        <f t="shared" si="2"/>
        <v>MATCH</v>
      </c>
    </row>
    <row r="181" spans="1:4" x14ac:dyDescent="0.45">
      <c r="A181" t="s">
        <v>361</v>
      </c>
      <c r="B181">
        <f>_xlfn.XLOOKUP(A181,Invoice_Data!A181,Invoice_Data!E181)</f>
        <v>85</v>
      </c>
      <c r="C181">
        <f>_xlfn.XLOOKUP(A181,Delivery_Order!B181,Delivery_Order!C181)</f>
        <v>85</v>
      </c>
      <c r="D181" t="str">
        <f t="shared" si="2"/>
        <v>MATCH</v>
      </c>
    </row>
    <row r="182" spans="1:4" x14ac:dyDescent="0.45">
      <c r="A182" t="s">
        <v>362</v>
      </c>
      <c r="B182">
        <f>_xlfn.XLOOKUP(A182,Invoice_Data!A182,Invoice_Data!E182)</f>
        <v>32</v>
      </c>
      <c r="C182">
        <f>_xlfn.XLOOKUP(A182,Delivery_Order!B182,Delivery_Order!C182)</f>
        <v>32</v>
      </c>
      <c r="D182" t="str">
        <f t="shared" si="2"/>
        <v>MATCH</v>
      </c>
    </row>
    <row r="183" spans="1:4" x14ac:dyDescent="0.45">
      <c r="A183" t="s">
        <v>363</v>
      </c>
      <c r="B183">
        <f>_xlfn.XLOOKUP(A183,Invoice_Data!A183,Invoice_Data!E183)</f>
        <v>19</v>
      </c>
      <c r="C183">
        <f>_xlfn.XLOOKUP(A183,Delivery_Order!B183,Delivery_Order!C183)</f>
        <v>19</v>
      </c>
      <c r="D183" t="str">
        <f t="shared" si="2"/>
        <v>MATCH</v>
      </c>
    </row>
    <row r="184" spans="1:4" x14ac:dyDescent="0.45">
      <c r="A184" t="s">
        <v>364</v>
      </c>
      <c r="B184">
        <f>_xlfn.XLOOKUP(A184,Invoice_Data!A184,Invoice_Data!E184)</f>
        <v>94</v>
      </c>
      <c r="C184">
        <f>_xlfn.XLOOKUP(A184,Delivery_Order!B184,Delivery_Order!C184)</f>
        <v>94</v>
      </c>
      <c r="D184" t="str">
        <f t="shared" si="2"/>
        <v>MATCH</v>
      </c>
    </row>
    <row r="185" spans="1:4" x14ac:dyDescent="0.45">
      <c r="A185" t="s">
        <v>366</v>
      </c>
      <c r="B185">
        <f>_xlfn.XLOOKUP(A185,Invoice_Data!A185,Invoice_Data!E185)</f>
        <v>63</v>
      </c>
      <c r="C185">
        <f>_xlfn.XLOOKUP(A185,Delivery_Order!B185,Delivery_Order!C185)</f>
        <v>63</v>
      </c>
      <c r="D185" t="str">
        <f t="shared" si="2"/>
        <v>MATCH</v>
      </c>
    </row>
    <row r="186" spans="1:4" x14ac:dyDescent="0.45">
      <c r="A186" t="s">
        <v>368</v>
      </c>
      <c r="B186">
        <f>_xlfn.XLOOKUP(A186,Invoice_Data!A186,Invoice_Data!E186)</f>
        <v>96</v>
      </c>
      <c r="C186">
        <f>_xlfn.XLOOKUP(A186,Delivery_Order!B186,Delivery_Order!C186)</f>
        <v>96</v>
      </c>
      <c r="D186" t="str">
        <f t="shared" si="2"/>
        <v>MATCH</v>
      </c>
    </row>
    <row r="187" spans="1:4" x14ac:dyDescent="0.45">
      <c r="A187" t="s">
        <v>369</v>
      </c>
      <c r="B187">
        <f>_xlfn.XLOOKUP(A187,Invoice_Data!A187,Invoice_Data!E187)</f>
        <v>91</v>
      </c>
      <c r="C187">
        <f>_xlfn.XLOOKUP(A187,Delivery_Order!B187,Delivery_Order!C187)</f>
        <v>87</v>
      </c>
      <c r="D187" t="str">
        <f t="shared" si="2"/>
        <v>MISSMATCH</v>
      </c>
    </row>
    <row r="188" spans="1:4" x14ac:dyDescent="0.45">
      <c r="A188" t="s">
        <v>370</v>
      </c>
      <c r="B188">
        <f>_xlfn.XLOOKUP(A188,Invoice_Data!A188,Invoice_Data!E188)</f>
        <v>13</v>
      </c>
      <c r="C188">
        <f>_xlfn.XLOOKUP(A188,Delivery_Order!B188,Delivery_Order!C188)</f>
        <v>11</v>
      </c>
      <c r="D188" t="str">
        <f t="shared" si="2"/>
        <v>MISSMATCH</v>
      </c>
    </row>
    <row r="189" spans="1:4" x14ac:dyDescent="0.45">
      <c r="A189" t="s">
        <v>372</v>
      </c>
      <c r="B189">
        <f>_xlfn.XLOOKUP(A189,Invoice_Data!A189,Invoice_Data!E189)</f>
        <v>29</v>
      </c>
      <c r="C189">
        <f>_xlfn.XLOOKUP(A189,Delivery_Order!B189,Delivery_Order!C189)</f>
        <v>29</v>
      </c>
      <c r="D189" t="str">
        <f t="shared" si="2"/>
        <v>MATCH</v>
      </c>
    </row>
    <row r="190" spans="1:4" x14ac:dyDescent="0.45">
      <c r="A190" t="s">
        <v>374</v>
      </c>
      <c r="B190">
        <f>_xlfn.XLOOKUP(A190,Invoice_Data!A190,Invoice_Data!E190)</f>
        <v>39</v>
      </c>
      <c r="C190">
        <f>_xlfn.XLOOKUP(A190,Delivery_Order!B190,Delivery_Order!C190)</f>
        <v>39</v>
      </c>
      <c r="D190" t="str">
        <f t="shared" si="2"/>
        <v>MATCH</v>
      </c>
    </row>
    <row r="191" spans="1:4" x14ac:dyDescent="0.45">
      <c r="A191" t="s">
        <v>375</v>
      </c>
      <c r="B191">
        <f>_xlfn.XLOOKUP(A191,Invoice_Data!A191,Invoice_Data!E191)</f>
        <v>86</v>
      </c>
      <c r="C191">
        <f>_xlfn.XLOOKUP(A191,Delivery_Order!B191,Delivery_Order!C191)</f>
        <v>86</v>
      </c>
      <c r="D191" t="str">
        <f t="shared" si="2"/>
        <v>MATCH</v>
      </c>
    </row>
    <row r="192" spans="1:4" x14ac:dyDescent="0.45">
      <c r="A192" t="s">
        <v>377</v>
      </c>
      <c r="B192">
        <f>_xlfn.XLOOKUP(A192,Invoice_Data!A192,Invoice_Data!E192)</f>
        <v>19</v>
      </c>
      <c r="C192">
        <f>_xlfn.XLOOKUP(A192,Delivery_Order!B192,Delivery_Order!C192)</f>
        <v>19</v>
      </c>
      <c r="D192" t="str">
        <f t="shared" si="2"/>
        <v>MATCH</v>
      </c>
    </row>
    <row r="193" spans="1:4" x14ac:dyDescent="0.45">
      <c r="A193" t="s">
        <v>379</v>
      </c>
      <c r="B193">
        <f>_xlfn.XLOOKUP(A193,Invoice_Data!A193,Invoice_Data!E193)</f>
        <v>25</v>
      </c>
      <c r="C193">
        <f>_xlfn.XLOOKUP(A193,Delivery_Order!B193,Delivery_Order!C193)</f>
        <v>21</v>
      </c>
      <c r="D193" t="str">
        <f t="shared" si="2"/>
        <v>MISSMATCH</v>
      </c>
    </row>
    <row r="194" spans="1:4" x14ac:dyDescent="0.45">
      <c r="A194" t="s">
        <v>380</v>
      </c>
      <c r="B194">
        <f>_xlfn.XLOOKUP(A194,Invoice_Data!A194,Invoice_Data!E194)</f>
        <v>91</v>
      </c>
      <c r="C194">
        <f>_xlfn.XLOOKUP(A194,Delivery_Order!B194,Delivery_Order!C194)</f>
        <v>91</v>
      </c>
      <c r="D194" t="str">
        <f t="shared" si="2"/>
        <v>MATCH</v>
      </c>
    </row>
    <row r="195" spans="1:4" x14ac:dyDescent="0.45">
      <c r="A195" t="s">
        <v>382</v>
      </c>
      <c r="B195">
        <f>_xlfn.XLOOKUP(A195,Invoice_Data!A195,Invoice_Data!E195)</f>
        <v>16</v>
      </c>
      <c r="C195">
        <f>_xlfn.XLOOKUP(A195,Delivery_Order!B195,Delivery_Order!C195)</f>
        <v>16</v>
      </c>
      <c r="D195" t="str">
        <f t="shared" ref="D195:D258" si="3">IF(B195=C195,"MATCH","MISSMATCH")</f>
        <v>MATCH</v>
      </c>
    </row>
    <row r="196" spans="1:4" x14ac:dyDescent="0.45">
      <c r="A196" t="s">
        <v>383</v>
      </c>
      <c r="B196">
        <f>_xlfn.XLOOKUP(A196,Invoice_Data!A196,Invoice_Data!E196)</f>
        <v>9</v>
      </c>
      <c r="C196">
        <f>_xlfn.XLOOKUP(A196,Delivery_Order!B196,Delivery_Order!C196)</f>
        <v>9</v>
      </c>
      <c r="D196" t="str">
        <f t="shared" si="3"/>
        <v>MATCH</v>
      </c>
    </row>
    <row r="197" spans="1:4" x14ac:dyDescent="0.45">
      <c r="A197" t="s">
        <v>385</v>
      </c>
      <c r="B197">
        <f>_xlfn.XLOOKUP(A197,Invoice_Data!A197,Invoice_Data!E197)</f>
        <v>95</v>
      </c>
      <c r="C197">
        <f>_xlfn.XLOOKUP(A197,Delivery_Order!B197,Delivery_Order!C197)</f>
        <v>95</v>
      </c>
      <c r="D197" t="str">
        <f t="shared" si="3"/>
        <v>MATCH</v>
      </c>
    </row>
    <row r="198" spans="1:4" x14ac:dyDescent="0.45">
      <c r="A198" t="s">
        <v>387</v>
      </c>
      <c r="B198">
        <f>_xlfn.XLOOKUP(A198,Invoice_Data!A198,Invoice_Data!E198)</f>
        <v>76</v>
      </c>
      <c r="C198">
        <f>_xlfn.XLOOKUP(A198,Delivery_Order!B198,Delivery_Order!C198)</f>
        <v>76</v>
      </c>
      <c r="D198" t="str">
        <f t="shared" si="3"/>
        <v>MATCH</v>
      </c>
    </row>
    <row r="199" spans="1:4" x14ac:dyDescent="0.45">
      <c r="A199" t="s">
        <v>388</v>
      </c>
      <c r="B199">
        <f>_xlfn.XLOOKUP(A199,Invoice_Data!A199,Invoice_Data!E199)</f>
        <v>26</v>
      </c>
      <c r="C199">
        <f>_xlfn.XLOOKUP(A199,Delivery_Order!B199,Delivery_Order!C199)</f>
        <v>26</v>
      </c>
      <c r="D199" t="str">
        <f t="shared" si="3"/>
        <v>MATCH</v>
      </c>
    </row>
    <row r="200" spans="1:4" x14ac:dyDescent="0.45">
      <c r="A200" t="s">
        <v>389</v>
      </c>
      <c r="B200">
        <f>_xlfn.XLOOKUP(A200,Invoice_Data!A200,Invoice_Data!E200)</f>
        <v>94</v>
      </c>
      <c r="C200">
        <f>_xlfn.XLOOKUP(A200,Delivery_Order!B200,Delivery_Order!C200)</f>
        <v>94</v>
      </c>
      <c r="D200" t="str">
        <f t="shared" si="3"/>
        <v>MATCH</v>
      </c>
    </row>
    <row r="201" spans="1:4" x14ac:dyDescent="0.45">
      <c r="A201" t="s">
        <v>391</v>
      </c>
      <c r="B201">
        <f>_xlfn.XLOOKUP(A201,Invoice_Data!A201,Invoice_Data!E201)</f>
        <v>27</v>
      </c>
      <c r="C201">
        <f>_xlfn.XLOOKUP(A201,Delivery_Order!B201,Delivery_Order!C201)</f>
        <v>27</v>
      </c>
      <c r="D201" t="str">
        <f t="shared" si="3"/>
        <v>MATCH</v>
      </c>
    </row>
    <row r="202" spans="1:4" x14ac:dyDescent="0.45">
      <c r="A202" t="s">
        <v>392</v>
      </c>
      <c r="B202">
        <f>_xlfn.XLOOKUP(A202,Invoice_Data!A202,Invoice_Data!E202)</f>
        <v>89</v>
      </c>
      <c r="C202">
        <f>_xlfn.XLOOKUP(A202,Delivery_Order!B202,Delivery_Order!C202)</f>
        <v>89</v>
      </c>
      <c r="D202" t="str">
        <f t="shared" si="3"/>
        <v>MATCH</v>
      </c>
    </row>
    <row r="203" spans="1:4" x14ac:dyDescent="0.45">
      <c r="A203" t="s">
        <v>394</v>
      </c>
      <c r="B203">
        <f>_xlfn.XLOOKUP(A203,Invoice_Data!A203,Invoice_Data!E203)</f>
        <v>34</v>
      </c>
      <c r="C203">
        <f>_xlfn.XLOOKUP(A203,Delivery_Order!B203,Delivery_Order!C203)</f>
        <v>34</v>
      </c>
      <c r="D203" t="str">
        <f t="shared" si="3"/>
        <v>MATCH</v>
      </c>
    </row>
    <row r="204" spans="1:4" x14ac:dyDescent="0.45">
      <c r="A204" t="s">
        <v>396</v>
      </c>
      <c r="B204">
        <f>_xlfn.XLOOKUP(A204,Invoice_Data!A204,Invoice_Data!E204)</f>
        <v>10</v>
      </c>
      <c r="C204">
        <f>_xlfn.XLOOKUP(A204,Delivery_Order!B204,Delivery_Order!C204)</f>
        <v>10</v>
      </c>
      <c r="D204" t="str">
        <f t="shared" si="3"/>
        <v>MATCH</v>
      </c>
    </row>
    <row r="205" spans="1:4" x14ac:dyDescent="0.45">
      <c r="A205" t="s">
        <v>397</v>
      </c>
      <c r="B205">
        <f>_xlfn.XLOOKUP(A205,Invoice_Data!A205,Invoice_Data!E205)</f>
        <v>43</v>
      </c>
      <c r="C205">
        <f>_xlfn.XLOOKUP(A205,Delivery_Order!B205,Delivery_Order!C205)</f>
        <v>43</v>
      </c>
      <c r="D205" t="str">
        <f t="shared" si="3"/>
        <v>MATCH</v>
      </c>
    </row>
    <row r="206" spans="1:4" x14ac:dyDescent="0.45">
      <c r="A206" t="s">
        <v>399</v>
      </c>
      <c r="B206">
        <f>_xlfn.XLOOKUP(A206,Invoice_Data!A206,Invoice_Data!E206)</f>
        <v>88</v>
      </c>
      <c r="C206">
        <f>_xlfn.XLOOKUP(A206,Delivery_Order!B206,Delivery_Order!C206)</f>
        <v>88</v>
      </c>
      <c r="D206" t="str">
        <f t="shared" si="3"/>
        <v>MATCH</v>
      </c>
    </row>
    <row r="207" spans="1:4" x14ac:dyDescent="0.45">
      <c r="A207" t="s">
        <v>400</v>
      </c>
      <c r="B207">
        <f>_xlfn.XLOOKUP(A207,Invoice_Data!A207,Invoice_Data!E207)</f>
        <v>81</v>
      </c>
      <c r="C207">
        <f>_xlfn.XLOOKUP(A207,Delivery_Order!B207,Delivery_Order!C207)</f>
        <v>81</v>
      </c>
      <c r="D207" t="str">
        <f t="shared" si="3"/>
        <v>MATCH</v>
      </c>
    </row>
    <row r="208" spans="1:4" x14ac:dyDescent="0.45">
      <c r="A208" t="s">
        <v>402</v>
      </c>
      <c r="B208">
        <f>_xlfn.XLOOKUP(A208,Invoice_Data!A208,Invoice_Data!E208)</f>
        <v>69</v>
      </c>
      <c r="C208">
        <f>_xlfn.XLOOKUP(A208,Delivery_Order!B208,Delivery_Order!C208)</f>
        <v>66</v>
      </c>
      <c r="D208" t="str">
        <f t="shared" si="3"/>
        <v>MISSMATCH</v>
      </c>
    </row>
    <row r="209" spans="1:4" x14ac:dyDescent="0.45">
      <c r="A209" t="s">
        <v>404</v>
      </c>
      <c r="B209">
        <f>_xlfn.XLOOKUP(A209,Invoice_Data!A209,Invoice_Data!E209)</f>
        <v>56</v>
      </c>
      <c r="C209">
        <f>_xlfn.XLOOKUP(A209,Delivery_Order!B209,Delivery_Order!C209)</f>
        <v>56</v>
      </c>
      <c r="D209" t="str">
        <f t="shared" si="3"/>
        <v>MATCH</v>
      </c>
    </row>
    <row r="210" spans="1:4" x14ac:dyDescent="0.45">
      <c r="A210" t="s">
        <v>405</v>
      </c>
      <c r="B210">
        <f>_xlfn.XLOOKUP(A210,Invoice_Data!A210,Invoice_Data!E210)</f>
        <v>87</v>
      </c>
      <c r="C210">
        <f>_xlfn.XLOOKUP(A210,Delivery_Order!B210,Delivery_Order!C210)</f>
        <v>87</v>
      </c>
      <c r="D210" t="str">
        <f t="shared" si="3"/>
        <v>MATCH</v>
      </c>
    </row>
    <row r="211" spans="1:4" x14ac:dyDescent="0.45">
      <c r="A211" t="s">
        <v>407</v>
      </c>
      <c r="B211">
        <f>_xlfn.XLOOKUP(A211,Invoice_Data!A211,Invoice_Data!E211)</f>
        <v>85</v>
      </c>
      <c r="C211">
        <f>_xlfn.XLOOKUP(A211,Delivery_Order!B211,Delivery_Order!C211)</f>
        <v>85</v>
      </c>
      <c r="D211" t="str">
        <f t="shared" si="3"/>
        <v>MATCH</v>
      </c>
    </row>
    <row r="212" spans="1:4" x14ac:dyDescent="0.45">
      <c r="A212" t="s">
        <v>408</v>
      </c>
      <c r="B212">
        <f>_xlfn.XLOOKUP(A212,Invoice_Data!A212,Invoice_Data!E212)</f>
        <v>57</v>
      </c>
      <c r="C212">
        <f>_xlfn.XLOOKUP(A212,Delivery_Order!B212,Delivery_Order!C212)</f>
        <v>57</v>
      </c>
      <c r="D212" t="str">
        <f t="shared" si="3"/>
        <v>MATCH</v>
      </c>
    </row>
    <row r="213" spans="1:4" x14ac:dyDescent="0.45">
      <c r="A213" t="s">
        <v>409</v>
      </c>
      <c r="B213">
        <f>_xlfn.XLOOKUP(A213,Invoice_Data!A213,Invoice_Data!E213)</f>
        <v>35</v>
      </c>
      <c r="C213">
        <f>_xlfn.XLOOKUP(A213,Delivery_Order!B213,Delivery_Order!C213)</f>
        <v>35</v>
      </c>
      <c r="D213" t="str">
        <f t="shared" si="3"/>
        <v>MATCH</v>
      </c>
    </row>
    <row r="214" spans="1:4" x14ac:dyDescent="0.45">
      <c r="A214" t="s">
        <v>411</v>
      </c>
      <c r="B214">
        <f>_xlfn.XLOOKUP(A214,Invoice_Data!A214,Invoice_Data!E214)</f>
        <v>75</v>
      </c>
      <c r="C214">
        <f>_xlfn.XLOOKUP(A214,Delivery_Order!B214,Delivery_Order!C214)</f>
        <v>75</v>
      </c>
      <c r="D214" t="str">
        <f t="shared" si="3"/>
        <v>MATCH</v>
      </c>
    </row>
    <row r="215" spans="1:4" x14ac:dyDescent="0.45">
      <c r="A215" t="s">
        <v>412</v>
      </c>
      <c r="B215">
        <f>_xlfn.XLOOKUP(A215,Invoice_Data!A215,Invoice_Data!E215)</f>
        <v>8</v>
      </c>
      <c r="C215">
        <f>_xlfn.XLOOKUP(A215,Delivery_Order!B215,Delivery_Order!C215)</f>
        <v>8</v>
      </c>
      <c r="D215" t="str">
        <f t="shared" si="3"/>
        <v>MATCH</v>
      </c>
    </row>
    <row r="216" spans="1:4" x14ac:dyDescent="0.45">
      <c r="A216" t="s">
        <v>414</v>
      </c>
      <c r="B216">
        <f>_xlfn.XLOOKUP(A216,Invoice_Data!A216,Invoice_Data!E216)</f>
        <v>74</v>
      </c>
      <c r="C216">
        <f>_xlfn.XLOOKUP(A216,Delivery_Order!B216,Delivery_Order!C216)</f>
        <v>74</v>
      </c>
      <c r="D216" t="str">
        <f t="shared" si="3"/>
        <v>MATCH</v>
      </c>
    </row>
    <row r="217" spans="1:4" x14ac:dyDescent="0.45">
      <c r="A217" t="s">
        <v>416</v>
      </c>
      <c r="B217">
        <f>_xlfn.XLOOKUP(A217,Invoice_Data!A217,Invoice_Data!E217)</f>
        <v>53</v>
      </c>
      <c r="C217">
        <f>_xlfn.XLOOKUP(A217,Delivery_Order!B217,Delivery_Order!C217)</f>
        <v>53</v>
      </c>
      <c r="D217" t="str">
        <f t="shared" si="3"/>
        <v>MATCH</v>
      </c>
    </row>
    <row r="218" spans="1:4" x14ac:dyDescent="0.45">
      <c r="A218" t="s">
        <v>417</v>
      </c>
      <c r="B218">
        <f>_xlfn.XLOOKUP(A218,Invoice_Data!A218,Invoice_Data!E218)</f>
        <v>42</v>
      </c>
      <c r="C218">
        <f>_xlfn.XLOOKUP(A218,Delivery_Order!B218,Delivery_Order!C218)</f>
        <v>42</v>
      </c>
      <c r="D218" t="str">
        <f t="shared" si="3"/>
        <v>MATCH</v>
      </c>
    </row>
    <row r="219" spans="1:4" x14ac:dyDescent="0.45">
      <c r="A219" t="s">
        <v>418</v>
      </c>
      <c r="B219">
        <f>_xlfn.XLOOKUP(A219,Invoice_Data!A219,Invoice_Data!E219)</f>
        <v>29</v>
      </c>
      <c r="C219">
        <f>_xlfn.XLOOKUP(A219,Delivery_Order!B219,Delivery_Order!C219)</f>
        <v>29</v>
      </c>
      <c r="D219" t="str">
        <f t="shared" si="3"/>
        <v>MATCH</v>
      </c>
    </row>
    <row r="220" spans="1:4" x14ac:dyDescent="0.45">
      <c r="A220" t="s">
        <v>420</v>
      </c>
      <c r="B220">
        <f>_xlfn.XLOOKUP(A220,Invoice_Data!A220,Invoice_Data!E220)</f>
        <v>14</v>
      </c>
      <c r="C220">
        <f>_xlfn.XLOOKUP(A220,Delivery_Order!B220,Delivery_Order!C220)</f>
        <v>14</v>
      </c>
      <c r="D220" t="str">
        <f t="shared" si="3"/>
        <v>MATCH</v>
      </c>
    </row>
    <row r="221" spans="1:4" x14ac:dyDescent="0.45">
      <c r="A221" t="s">
        <v>422</v>
      </c>
      <c r="B221">
        <f>_xlfn.XLOOKUP(A221,Invoice_Data!A221,Invoice_Data!E221)</f>
        <v>64</v>
      </c>
      <c r="C221">
        <f>_xlfn.XLOOKUP(A221,Delivery_Order!B221,Delivery_Order!C221)</f>
        <v>64</v>
      </c>
      <c r="D221" t="str">
        <f t="shared" si="3"/>
        <v>MATCH</v>
      </c>
    </row>
    <row r="222" spans="1:4" x14ac:dyDescent="0.45">
      <c r="A222" t="s">
        <v>424</v>
      </c>
      <c r="B222">
        <f>_xlfn.XLOOKUP(A222,Invoice_Data!A222,Invoice_Data!E222)</f>
        <v>10</v>
      </c>
      <c r="C222">
        <f>_xlfn.XLOOKUP(A222,Delivery_Order!B222,Delivery_Order!C222)</f>
        <v>10</v>
      </c>
      <c r="D222" t="str">
        <f t="shared" si="3"/>
        <v>MATCH</v>
      </c>
    </row>
    <row r="223" spans="1:4" x14ac:dyDescent="0.45">
      <c r="A223" t="s">
        <v>426</v>
      </c>
      <c r="B223">
        <f>_xlfn.XLOOKUP(A223,Invoice_Data!A223,Invoice_Data!E223)</f>
        <v>91</v>
      </c>
      <c r="C223">
        <f>_xlfn.XLOOKUP(A223,Delivery_Order!B223,Delivery_Order!C223)</f>
        <v>91</v>
      </c>
      <c r="D223" t="str">
        <f t="shared" si="3"/>
        <v>MATCH</v>
      </c>
    </row>
    <row r="224" spans="1:4" x14ac:dyDescent="0.45">
      <c r="A224" t="s">
        <v>428</v>
      </c>
      <c r="B224">
        <f>_xlfn.XLOOKUP(A224,Invoice_Data!A224,Invoice_Data!E224)</f>
        <v>58</v>
      </c>
      <c r="C224">
        <f>_xlfn.XLOOKUP(A224,Delivery_Order!B224,Delivery_Order!C224)</f>
        <v>58</v>
      </c>
      <c r="D224" t="str">
        <f t="shared" si="3"/>
        <v>MATCH</v>
      </c>
    </row>
    <row r="225" spans="1:4" x14ac:dyDescent="0.45">
      <c r="A225" t="s">
        <v>429</v>
      </c>
      <c r="B225">
        <f>_xlfn.XLOOKUP(A225,Invoice_Data!A225,Invoice_Data!E225)</f>
        <v>65</v>
      </c>
      <c r="C225">
        <f>_xlfn.XLOOKUP(A225,Delivery_Order!B225,Delivery_Order!C225)</f>
        <v>62</v>
      </c>
      <c r="D225" t="str">
        <f t="shared" si="3"/>
        <v>MISSMATCH</v>
      </c>
    </row>
    <row r="226" spans="1:4" x14ac:dyDescent="0.45">
      <c r="A226" t="s">
        <v>430</v>
      </c>
      <c r="B226">
        <f>_xlfn.XLOOKUP(A226,Invoice_Data!A226,Invoice_Data!E226)</f>
        <v>25</v>
      </c>
      <c r="C226">
        <f>_xlfn.XLOOKUP(A226,Delivery_Order!B226,Delivery_Order!C226)</f>
        <v>25</v>
      </c>
      <c r="D226" t="str">
        <f t="shared" si="3"/>
        <v>MATCH</v>
      </c>
    </row>
    <row r="227" spans="1:4" x14ac:dyDescent="0.45">
      <c r="A227" t="s">
        <v>432</v>
      </c>
      <c r="B227">
        <f>_xlfn.XLOOKUP(A227,Invoice_Data!A227,Invoice_Data!E227)</f>
        <v>52</v>
      </c>
      <c r="C227">
        <f>_xlfn.XLOOKUP(A227,Delivery_Order!B227,Delivery_Order!C227)</f>
        <v>50</v>
      </c>
      <c r="D227" t="str">
        <f t="shared" si="3"/>
        <v>MISSMATCH</v>
      </c>
    </row>
    <row r="228" spans="1:4" x14ac:dyDescent="0.45">
      <c r="A228" t="s">
        <v>434</v>
      </c>
      <c r="B228">
        <f>_xlfn.XLOOKUP(A228,Invoice_Data!A228,Invoice_Data!E228)</f>
        <v>70</v>
      </c>
      <c r="C228">
        <f>_xlfn.XLOOKUP(A228,Delivery_Order!B228,Delivery_Order!C228)</f>
        <v>70</v>
      </c>
      <c r="D228" t="str">
        <f t="shared" si="3"/>
        <v>MATCH</v>
      </c>
    </row>
    <row r="229" spans="1:4" x14ac:dyDescent="0.45">
      <c r="A229" t="s">
        <v>436</v>
      </c>
      <c r="B229">
        <f>_xlfn.XLOOKUP(A229,Invoice_Data!A229,Invoice_Data!E229)</f>
        <v>55</v>
      </c>
      <c r="C229">
        <f>_xlfn.XLOOKUP(A229,Delivery_Order!B229,Delivery_Order!C229)</f>
        <v>55</v>
      </c>
      <c r="D229" t="str">
        <f t="shared" si="3"/>
        <v>MATCH</v>
      </c>
    </row>
    <row r="230" spans="1:4" x14ac:dyDescent="0.45">
      <c r="A230" t="s">
        <v>438</v>
      </c>
      <c r="B230">
        <f>_xlfn.XLOOKUP(A230,Invoice_Data!A230,Invoice_Data!E230)</f>
        <v>90</v>
      </c>
      <c r="C230">
        <f>_xlfn.XLOOKUP(A230,Delivery_Order!B230,Delivery_Order!C230)</f>
        <v>90</v>
      </c>
      <c r="D230" t="str">
        <f t="shared" si="3"/>
        <v>MATCH</v>
      </c>
    </row>
    <row r="231" spans="1:4" x14ac:dyDescent="0.45">
      <c r="A231" t="s">
        <v>440</v>
      </c>
      <c r="B231">
        <f>_xlfn.XLOOKUP(A231,Invoice_Data!A231,Invoice_Data!E231)</f>
        <v>69</v>
      </c>
      <c r="C231">
        <f>_xlfn.XLOOKUP(A231,Delivery_Order!B231,Delivery_Order!C231)</f>
        <v>69</v>
      </c>
      <c r="D231" t="str">
        <f t="shared" si="3"/>
        <v>MATCH</v>
      </c>
    </row>
    <row r="232" spans="1:4" x14ac:dyDescent="0.45">
      <c r="A232" t="s">
        <v>442</v>
      </c>
      <c r="B232">
        <f>_xlfn.XLOOKUP(A232,Invoice_Data!A232,Invoice_Data!E232)</f>
        <v>73</v>
      </c>
      <c r="C232">
        <f>_xlfn.XLOOKUP(A232,Delivery_Order!B232,Delivery_Order!C232)</f>
        <v>73</v>
      </c>
      <c r="D232" t="str">
        <f t="shared" si="3"/>
        <v>MATCH</v>
      </c>
    </row>
    <row r="233" spans="1:4" x14ac:dyDescent="0.45">
      <c r="A233" t="s">
        <v>443</v>
      </c>
      <c r="B233">
        <f>_xlfn.XLOOKUP(A233,Invoice_Data!A233,Invoice_Data!E233)</f>
        <v>81</v>
      </c>
      <c r="C233">
        <f>_xlfn.XLOOKUP(A233,Delivery_Order!B233,Delivery_Order!C233)</f>
        <v>81</v>
      </c>
      <c r="D233" t="str">
        <f t="shared" si="3"/>
        <v>MATCH</v>
      </c>
    </row>
    <row r="234" spans="1:4" x14ac:dyDescent="0.45">
      <c r="A234" t="s">
        <v>444</v>
      </c>
      <c r="B234">
        <f>_xlfn.XLOOKUP(A234,Invoice_Data!A234,Invoice_Data!E234)</f>
        <v>65</v>
      </c>
      <c r="C234">
        <f>_xlfn.XLOOKUP(A234,Delivery_Order!B234,Delivery_Order!C234)</f>
        <v>65</v>
      </c>
      <c r="D234" t="str">
        <f t="shared" si="3"/>
        <v>MATCH</v>
      </c>
    </row>
    <row r="235" spans="1:4" x14ac:dyDescent="0.45">
      <c r="A235" t="s">
        <v>446</v>
      </c>
      <c r="B235">
        <f>_xlfn.XLOOKUP(A235,Invoice_Data!A235,Invoice_Data!E235)</f>
        <v>31</v>
      </c>
      <c r="C235">
        <f>_xlfn.XLOOKUP(A235,Delivery_Order!B235,Delivery_Order!C235)</f>
        <v>31</v>
      </c>
      <c r="D235" t="str">
        <f t="shared" si="3"/>
        <v>MATCH</v>
      </c>
    </row>
    <row r="236" spans="1:4" x14ac:dyDescent="0.45">
      <c r="A236" t="s">
        <v>447</v>
      </c>
      <c r="B236">
        <f>_xlfn.XLOOKUP(A236,Invoice_Data!A236,Invoice_Data!E236)</f>
        <v>24</v>
      </c>
      <c r="C236">
        <f>_xlfn.XLOOKUP(A236,Delivery_Order!B236,Delivery_Order!C236)</f>
        <v>24</v>
      </c>
      <c r="D236" t="str">
        <f t="shared" si="3"/>
        <v>MATCH</v>
      </c>
    </row>
    <row r="237" spans="1:4" x14ac:dyDescent="0.45">
      <c r="A237" t="s">
        <v>448</v>
      </c>
      <c r="B237">
        <f>_xlfn.XLOOKUP(A237,Invoice_Data!A237,Invoice_Data!E237)</f>
        <v>30</v>
      </c>
      <c r="C237">
        <f>_xlfn.XLOOKUP(A237,Delivery_Order!B237,Delivery_Order!C237)</f>
        <v>30</v>
      </c>
      <c r="D237" t="str">
        <f t="shared" si="3"/>
        <v>MATCH</v>
      </c>
    </row>
    <row r="238" spans="1:4" x14ac:dyDescent="0.45">
      <c r="A238" t="s">
        <v>449</v>
      </c>
      <c r="B238">
        <f>_xlfn.XLOOKUP(A238,Invoice_Data!A238,Invoice_Data!E238)</f>
        <v>75</v>
      </c>
      <c r="C238">
        <f>_xlfn.XLOOKUP(A238,Delivery_Order!B238,Delivery_Order!C238)</f>
        <v>75</v>
      </c>
      <c r="D238" t="str">
        <f t="shared" si="3"/>
        <v>MATCH</v>
      </c>
    </row>
    <row r="239" spans="1:4" x14ac:dyDescent="0.45">
      <c r="A239" t="s">
        <v>450</v>
      </c>
      <c r="B239">
        <f>_xlfn.XLOOKUP(A239,Invoice_Data!A239,Invoice_Data!E239)</f>
        <v>48</v>
      </c>
      <c r="C239">
        <f>_xlfn.XLOOKUP(A239,Delivery_Order!B239,Delivery_Order!C239)</f>
        <v>48</v>
      </c>
      <c r="D239" t="str">
        <f t="shared" si="3"/>
        <v>MATCH</v>
      </c>
    </row>
    <row r="240" spans="1:4" x14ac:dyDescent="0.45">
      <c r="A240" t="s">
        <v>451</v>
      </c>
      <c r="B240">
        <f>_xlfn.XLOOKUP(A240,Invoice_Data!A240,Invoice_Data!E240)</f>
        <v>54</v>
      </c>
      <c r="C240">
        <f>_xlfn.XLOOKUP(A240,Delivery_Order!B240,Delivery_Order!C240)</f>
        <v>54</v>
      </c>
      <c r="D240" t="str">
        <f t="shared" si="3"/>
        <v>MATCH</v>
      </c>
    </row>
    <row r="241" spans="1:4" x14ac:dyDescent="0.45">
      <c r="A241" t="s">
        <v>453</v>
      </c>
      <c r="B241">
        <f>_xlfn.XLOOKUP(A241,Invoice_Data!A241,Invoice_Data!E241)</f>
        <v>71</v>
      </c>
      <c r="C241">
        <f>_xlfn.XLOOKUP(A241,Delivery_Order!B241,Delivery_Order!C241)</f>
        <v>71</v>
      </c>
      <c r="D241" t="str">
        <f t="shared" si="3"/>
        <v>MATCH</v>
      </c>
    </row>
    <row r="242" spans="1:4" x14ac:dyDescent="0.45">
      <c r="A242" t="s">
        <v>455</v>
      </c>
      <c r="B242">
        <f>_xlfn.XLOOKUP(A242,Invoice_Data!A242,Invoice_Data!E242)</f>
        <v>17</v>
      </c>
      <c r="C242">
        <f>_xlfn.XLOOKUP(A242,Delivery_Order!B242,Delivery_Order!C242)</f>
        <v>17</v>
      </c>
      <c r="D242" t="str">
        <f t="shared" si="3"/>
        <v>MATCH</v>
      </c>
    </row>
    <row r="243" spans="1:4" x14ac:dyDescent="0.45">
      <c r="A243" t="s">
        <v>457</v>
      </c>
      <c r="B243">
        <f>_xlfn.XLOOKUP(A243,Invoice_Data!A243,Invoice_Data!E243)</f>
        <v>24</v>
      </c>
      <c r="C243">
        <f>_xlfn.XLOOKUP(A243,Delivery_Order!B243,Delivery_Order!C243)</f>
        <v>24</v>
      </c>
      <c r="D243" t="str">
        <f t="shared" si="3"/>
        <v>MATCH</v>
      </c>
    </row>
    <row r="244" spans="1:4" x14ac:dyDescent="0.45">
      <c r="A244" t="s">
        <v>458</v>
      </c>
      <c r="B244">
        <f>_xlfn.XLOOKUP(A244,Invoice_Data!A244,Invoice_Data!E244)</f>
        <v>83</v>
      </c>
      <c r="C244">
        <f>_xlfn.XLOOKUP(A244,Delivery_Order!B244,Delivery_Order!C244)</f>
        <v>83</v>
      </c>
      <c r="D244" t="str">
        <f t="shared" si="3"/>
        <v>MATCH</v>
      </c>
    </row>
    <row r="245" spans="1:4" x14ac:dyDescent="0.45">
      <c r="A245" t="s">
        <v>460</v>
      </c>
      <c r="B245">
        <f>_xlfn.XLOOKUP(A245,Invoice_Data!A245,Invoice_Data!E245)</f>
        <v>32</v>
      </c>
      <c r="C245">
        <f>_xlfn.XLOOKUP(A245,Delivery_Order!B245,Delivery_Order!C245)</f>
        <v>32</v>
      </c>
      <c r="D245" t="str">
        <f t="shared" si="3"/>
        <v>MATCH</v>
      </c>
    </row>
    <row r="246" spans="1:4" x14ac:dyDescent="0.45">
      <c r="A246" t="s">
        <v>462</v>
      </c>
      <c r="B246">
        <f>_xlfn.XLOOKUP(A246,Invoice_Data!A246,Invoice_Data!E246)</f>
        <v>55</v>
      </c>
      <c r="C246">
        <f>_xlfn.XLOOKUP(A246,Delivery_Order!B246,Delivery_Order!C246)</f>
        <v>55</v>
      </c>
      <c r="D246" t="str">
        <f t="shared" si="3"/>
        <v>MATCH</v>
      </c>
    </row>
    <row r="247" spans="1:4" x14ac:dyDescent="0.45">
      <c r="A247" t="s">
        <v>464</v>
      </c>
      <c r="B247">
        <f>_xlfn.XLOOKUP(A247,Invoice_Data!A247,Invoice_Data!E247)</f>
        <v>91</v>
      </c>
      <c r="C247">
        <f>_xlfn.XLOOKUP(A247,Delivery_Order!B247,Delivery_Order!C247)</f>
        <v>91</v>
      </c>
      <c r="D247" t="str">
        <f t="shared" si="3"/>
        <v>MATCH</v>
      </c>
    </row>
    <row r="248" spans="1:4" x14ac:dyDescent="0.45">
      <c r="A248" t="s">
        <v>465</v>
      </c>
      <c r="B248">
        <f>_xlfn.XLOOKUP(A248,Invoice_Data!A248,Invoice_Data!E248)</f>
        <v>25</v>
      </c>
      <c r="C248">
        <f>_xlfn.XLOOKUP(A248,Delivery_Order!B248,Delivery_Order!C248)</f>
        <v>25</v>
      </c>
      <c r="D248" t="str">
        <f t="shared" si="3"/>
        <v>MATCH</v>
      </c>
    </row>
    <row r="249" spans="1:4" x14ac:dyDescent="0.45">
      <c r="A249" t="s">
        <v>467</v>
      </c>
      <c r="B249">
        <f>_xlfn.XLOOKUP(A249,Invoice_Data!A249,Invoice_Data!E249)</f>
        <v>35</v>
      </c>
      <c r="C249">
        <f>_xlfn.XLOOKUP(A249,Delivery_Order!B249,Delivery_Order!C249)</f>
        <v>35</v>
      </c>
      <c r="D249" t="str">
        <f t="shared" si="3"/>
        <v>MATCH</v>
      </c>
    </row>
    <row r="250" spans="1:4" x14ac:dyDescent="0.45">
      <c r="A250" t="s">
        <v>469</v>
      </c>
      <c r="B250">
        <f>_xlfn.XLOOKUP(A250,Invoice_Data!A250,Invoice_Data!E250)</f>
        <v>37</v>
      </c>
      <c r="C250">
        <f>_xlfn.XLOOKUP(A250,Delivery_Order!B250,Delivery_Order!C250)</f>
        <v>37</v>
      </c>
      <c r="D250" t="str">
        <f t="shared" si="3"/>
        <v>MATCH</v>
      </c>
    </row>
    <row r="251" spans="1:4" x14ac:dyDescent="0.45">
      <c r="A251" t="s">
        <v>470</v>
      </c>
      <c r="B251">
        <f>_xlfn.XLOOKUP(A251,Invoice_Data!A251,Invoice_Data!E251)</f>
        <v>87</v>
      </c>
      <c r="C251">
        <f>_xlfn.XLOOKUP(A251,Delivery_Order!B251,Delivery_Order!C251)</f>
        <v>87</v>
      </c>
      <c r="D251" t="str">
        <f t="shared" si="3"/>
        <v>MATCH</v>
      </c>
    </row>
    <row r="252" spans="1:4" x14ac:dyDescent="0.45">
      <c r="A252" t="s">
        <v>472</v>
      </c>
      <c r="B252">
        <f>_xlfn.XLOOKUP(A252,Invoice_Data!A252,Invoice_Data!E252)</f>
        <v>54</v>
      </c>
      <c r="C252">
        <f>_xlfn.XLOOKUP(A252,Delivery_Order!B252,Delivery_Order!C252)</f>
        <v>54</v>
      </c>
      <c r="D252" t="str">
        <f t="shared" si="3"/>
        <v>MATCH</v>
      </c>
    </row>
    <row r="253" spans="1:4" x14ac:dyDescent="0.45">
      <c r="A253" t="s">
        <v>473</v>
      </c>
      <c r="B253">
        <f>_xlfn.XLOOKUP(A253,Invoice_Data!A253,Invoice_Data!E253)</f>
        <v>60</v>
      </c>
      <c r="C253">
        <f>_xlfn.XLOOKUP(A253,Delivery_Order!B253,Delivery_Order!C253)</f>
        <v>60</v>
      </c>
      <c r="D253" t="str">
        <f t="shared" si="3"/>
        <v>MATCH</v>
      </c>
    </row>
    <row r="254" spans="1:4" x14ac:dyDescent="0.45">
      <c r="A254" t="s">
        <v>474</v>
      </c>
      <c r="B254">
        <f>_xlfn.XLOOKUP(A254,Invoice_Data!A254,Invoice_Data!E254)</f>
        <v>19</v>
      </c>
      <c r="C254">
        <f>_xlfn.XLOOKUP(A254,Delivery_Order!B254,Delivery_Order!C254)</f>
        <v>19</v>
      </c>
      <c r="D254" t="str">
        <f t="shared" si="3"/>
        <v>MATCH</v>
      </c>
    </row>
    <row r="255" spans="1:4" x14ac:dyDescent="0.45">
      <c r="A255" t="s">
        <v>475</v>
      </c>
      <c r="B255">
        <f>_xlfn.XLOOKUP(A255,Invoice_Data!A255,Invoice_Data!E255)</f>
        <v>69</v>
      </c>
      <c r="C255">
        <f>_xlfn.XLOOKUP(A255,Delivery_Order!B255,Delivery_Order!C255)</f>
        <v>69</v>
      </c>
      <c r="D255" t="str">
        <f t="shared" si="3"/>
        <v>MATCH</v>
      </c>
    </row>
    <row r="256" spans="1:4" x14ac:dyDescent="0.45">
      <c r="A256" t="s">
        <v>477</v>
      </c>
      <c r="B256">
        <f>_xlfn.XLOOKUP(A256,Invoice_Data!A256,Invoice_Data!E256)</f>
        <v>84</v>
      </c>
      <c r="C256">
        <f>_xlfn.XLOOKUP(A256,Delivery_Order!B256,Delivery_Order!C256)</f>
        <v>84</v>
      </c>
      <c r="D256" t="str">
        <f t="shared" si="3"/>
        <v>MATCH</v>
      </c>
    </row>
    <row r="257" spans="1:4" x14ac:dyDescent="0.45">
      <c r="A257" t="s">
        <v>478</v>
      </c>
      <c r="B257">
        <f>_xlfn.XLOOKUP(A257,Invoice_Data!A257,Invoice_Data!E257)</f>
        <v>62</v>
      </c>
      <c r="C257">
        <f>_xlfn.XLOOKUP(A257,Delivery_Order!B257,Delivery_Order!C257)</f>
        <v>62</v>
      </c>
      <c r="D257" t="str">
        <f t="shared" si="3"/>
        <v>MATCH</v>
      </c>
    </row>
    <row r="258" spans="1:4" x14ac:dyDescent="0.45">
      <c r="A258" t="s">
        <v>480</v>
      </c>
      <c r="B258">
        <f>_xlfn.XLOOKUP(A258,Invoice_Data!A258,Invoice_Data!E258)</f>
        <v>94</v>
      </c>
      <c r="C258">
        <f>_xlfn.XLOOKUP(A258,Delivery_Order!B258,Delivery_Order!C258)</f>
        <v>94</v>
      </c>
      <c r="D258" t="str">
        <f t="shared" si="3"/>
        <v>MATCH</v>
      </c>
    </row>
    <row r="259" spans="1:4" x14ac:dyDescent="0.45">
      <c r="A259" t="s">
        <v>481</v>
      </c>
      <c r="B259">
        <f>_xlfn.XLOOKUP(A259,Invoice_Data!A259,Invoice_Data!E259)</f>
        <v>60</v>
      </c>
      <c r="C259">
        <f>_xlfn.XLOOKUP(A259,Delivery_Order!B259,Delivery_Order!C259)</f>
        <v>60</v>
      </c>
      <c r="D259" t="str">
        <f t="shared" ref="D259:D301" si="4">IF(B259=C259,"MATCH","MISSMATCH")</f>
        <v>MATCH</v>
      </c>
    </row>
    <row r="260" spans="1:4" x14ac:dyDescent="0.45">
      <c r="A260" t="s">
        <v>482</v>
      </c>
      <c r="B260">
        <f>_xlfn.XLOOKUP(A260,Invoice_Data!A260,Invoice_Data!E260)</f>
        <v>60</v>
      </c>
      <c r="C260">
        <f>_xlfn.XLOOKUP(A260,Delivery_Order!B260,Delivery_Order!C260)</f>
        <v>60</v>
      </c>
      <c r="D260" t="str">
        <f t="shared" si="4"/>
        <v>MATCH</v>
      </c>
    </row>
    <row r="261" spans="1:4" x14ac:dyDescent="0.45">
      <c r="A261" t="s">
        <v>484</v>
      </c>
      <c r="B261">
        <f>_xlfn.XLOOKUP(A261,Invoice_Data!A261,Invoice_Data!E261)</f>
        <v>85</v>
      </c>
      <c r="C261">
        <f>_xlfn.XLOOKUP(A261,Delivery_Order!B261,Delivery_Order!C261)</f>
        <v>85</v>
      </c>
      <c r="D261" t="str">
        <f t="shared" si="4"/>
        <v>MATCH</v>
      </c>
    </row>
    <row r="262" spans="1:4" x14ac:dyDescent="0.45">
      <c r="A262" t="s">
        <v>486</v>
      </c>
      <c r="B262">
        <f>_xlfn.XLOOKUP(A262,Invoice_Data!A262,Invoice_Data!E262)</f>
        <v>43</v>
      </c>
      <c r="C262">
        <f>_xlfn.XLOOKUP(A262,Delivery_Order!B262,Delivery_Order!C262)</f>
        <v>42</v>
      </c>
      <c r="D262" t="str">
        <f t="shared" si="4"/>
        <v>MISSMATCH</v>
      </c>
    </row>
    <row r="263" spans="1:4" x14ac:dyDescent="0.45">
      <c r="A263" t="s">
        <v>488</v>
      </c>
      <c r="B263">
        <f>_xlfn.XLOOKUP(A263,Invoice_Data!A263,Invoice_Data!E263)</f>
        <v>89</v>
      </c>
      <c r="C263">
        <f>_xlfn.XLOOKUP(A263,Delivery_Order!B263,Delivery_Order!C263)</f>
        <v>89</v>
      </c>
      <c r="D263" t="str">
        <f t="shared" si="4"/>
        <v>MATCH</v>
      </c>
    </row>
    <row r="264" spans="1:4" x14ac:dyDescent="0.45">
      <c r="A264" t="s">
        <v>489</v>
      </c>
      <c r="B264">
        <f>_xlfn.XLOOKUP(A264,Invoice_Data!A264,Invoice_Data!E264)</f>
        <v>13</v>
      </c>
      <c r="C264">
        <f>_xlfn.XLOOKUP(A264,Delivery_Order!B264,Delivery_Order!C264)</f>
        <v>13</v>
      </c>
      <c r="D264" t="str">
        <f t="shared" si="4"/>
        <v>MATCH</v>
      </c>
    </row>
    <row r="265" spans="1:4" x14ac:dyDescent="0.45">
      <c r="A265" t="s">
        <v>491</v>
      </c>
      <c r="B265">
        <f>_xlfn.XLOOKUP(A265,Invoice_Data!A265,Invoice_Data!E265)</f>
        <v>33</v>
      </c>
      <c r="C265">
        <f>_xlfn.XLOOKUP(A265,Delivery_Order!B265,Delivery_Order!C265)</f>
        <v>33</v>
      </c>
      <c r="D265" t="str">
        <f t="shared" si="4"/>
        <v>MATCH</v>
      </c>
    </row>
    <row r="266" spans="1:4" x14ac:dyDescent="0.45">
      <c r="A266" t="s">
        <v>492</v>
      </c>
      <c r="B266">
        <f>_xlfn.XLOOKUP(A266,Invoice_Data!A266,Invoice_Data!E266)</f>
        <v>94</v>
      </c>
      <c r="C266">
        <f>_xlfn.XLOOKUP(A266,Delivery_Order!B266,Delivery_Order!C266)</f>
        <v>94</v>
      </c>
      <c r="D266" t="str">
        <f t="shared" si="4"/>
        <v>MATCH</v>
      </c>
    </row>
    <row r="267" spans="1:4" x14ac:dyDescent="0.45">
      <c r="A267" t="s">
        <v>494</v>
      </c>
      <c r="B267">
        <f>_xlfn.XLOOKUP(A267,Invoice_Data!A267,Invoice_Data!E267)</f>
        <v>65</v>
      </c>
      <c r="C267">
        <f>_xlfn.XLOOKUP(A267,Delivery_Order!B267,Delivery_Order!C267)</f>
        <v>65</v>
      </c>
      <c r="D267" t="str">
        <f t="shared" si="4"/>
        <v>MATCH</v>
      </c>
    </row>
    <row r="268" spans="1:4" x14ac:dyDescent="0.45">
      <c r="A268" t="s">
        <v>495</v>
      </c>
      <c r="B268">
        <f>_xlfn.XLOOKUP(A268,Invoice_Data!A268,Invoice_Data!E268)</f>
        <v>13</v>
      </c>
      <c r="C268">
        <f>_xlfn.XLOOKUP(A268,Delivery_Order!B268,Delivery_Order!C268)</f>
        <v>13</v>
      </c>
      <c r="D268" t="str">
        <f t="shared" si="4"/>
        <v>MATCH</v>
      </c>
    </row>
    <row r="269" spans="1:4" x14ac:dyDescent="0.45">
      <c r="A269" t="s">
        <v>497</v>
      </c>
      <c r="B269">
        <f>_xlfn.XLOOKUP(A269,Invoice_Data!A269,Invoice_Data!E269)</f>
        <v>93</v>
      </c>
      <c r="C269">
        <f>_xlfn.XLOOKUP(A269,Delivery_Order!B269,Delivery_Order!C269)</f>
        <v>93</v>
      </c>
      <c r="D269" t="str">
        <f t="shared" si="4"/>
        <v>MATCH</v>
      </c>
    </row>
    <row r="270" spans="1:4" x14ac:dyDescent="0.45">
      <c r="A270" t="s">
        <v>498</v>
      </c>
      <c r="B270">
        <f>_xlfn.XLOOKUP(A270,Invoice_Data!A270,Invoice_Data!E270)</f>
        <v>65</v>
      </c>
      <c r="C270">
        <f>_xlfn.XLOOKUP(A270,Delivery_Order!B270,Delivery_Order!C270)</f>
        <v>65</v>
      </c>
      <c r="D270" t="str">
        <f t="shared" si="4"/>
        <v>MATCH</v>
      </c>
    </row>
    <row r="271" spans="1:4" x14ac:dyDescent="0.45">
      <c r="A271" t="s">
        <v>500</v>
      </c>
      <c r="B271">
        <f>_xlfn.XLOOKUP(A271,Invoice_Data!A271,Invoice_Data!E271)</f>
        <v>35</v>
      </c>
      <c r="C271">
        <f>_xlfn.XLOOKUP(A271,Delivery_Order!B271,Delivery_Order!C271)</f>
        <v>35</v>
      </c>
      <c r="D271" t="str">
        <f t="shared" si="4"/>
        <v>MATCH</v>
      </c>
    </row>
    <row r="272" spans="1:4" x14ac:dyDescent="0.45">
      <c r="A272" t="s">
        <v>502</v>
      </c>
      <c r="B272">
        <f>_xlfn.XLOOKUP(A272,Invoice_Data!A272,Invoice_Data!E272)</f>
        <v>37</v>
      </c>
      <c r="C272">
        <f>_xlfn.XLOOKUP(A272,Delivery_Order!B272,Delivery_Order!C272)</f>
        <v>37</v>
      </c>
      <c r="D272" t="str">
        <f t="shared" si="4"/>
        <v>MATCH</v>
      </c>
    </row>
    <row r="273" spans="1:4" x14ac:dyDescent="0.45">
      <c r="A273" t="s">
        <v>504</v>
      </c>
      <c r="B273">
        <f>_xlfn.XLOOKUP(A273,Invoice_Data!A273,Invoice_Data!E273)</f>
        <v>64</v>
      </c>
      <c r="C273">
        <f>_xlfn.XLOOKUP(A273,Delivery_Order!B273,Delivery_Order!C273)</f>
        <v>64</v>
      </c>
      <c r="D273" t="str">
        <f t="shared" si="4"/>
        <v>MATCH</v>
      </c>
    </row>
    <row r="274" spans="1:4" x14ac:dyDescent="0.45">
      <c r="A274" t="s">
        <v>505</v>
      </c>
      <c r="B274">
        <f>_xlfn.XLOOKUP(A274,Invoice_Data!A274,Invoice_Data!E274)</f>
        <v>31</v>
      </c>
      <c r="C274">
        <f>_xlfn.XLOOKUP(A274,Delivery_Order!B274,Delivery_Order!C274)</f>
        <v>31</v>
      </c>
      <c r="D274" t="str">
        <f t="shared" si="4"/>
        <v>MATCH</v>
      </c>
    </row>
    <row r="275" spans="1:4" x14ac:dyDescent="0.45">
      <c r="A275" t="s">
        <v>506</v>
      </c>
      <c r="B275">
        <f>_xlfn.XLOOKUP(A275,Invoice_Data!A275,Invoice_Data!E275)</f>
        <v>94</v>
      </c>
      <c r="C275">
        <f>_xlfn.XLOOKUP(A275,Delivery_Order!B275,Delivery_Order!C275)</f>
        <v>94</v>
      </c>
      <c r="D275" t="str">
        <f t="shared" si="4"/>
        <v>MATCH</v>
      </c>
    </row>
    <row r="276" spans="1:4" x14ac:dyDescent="0.45">
      <c r="A276" t="s">
        <v>507</v>
      </c>
      <c r="B276">
        <f>_xlfn.XLOOKUP(A276,Invoice_Data!A276,Invoice_Data!E276)</f>
        <v>32</v>
      </c>
      <c r="C276">
        <f>_xlfn.XLOOKUP(A276,Delivery_Order!B276,Delivery_Order!C276)</f>
        <v>32</v>
      </c>
      <c r="D276" t="str">
        <f t="shared" si="4"/>
        <v>MATCH</v>
      </c>
    </row>
    <row r="277" spans="1:4" x14ac:dyDescent="0.45">
      <c r="A277" t="s">
        <v>509</v>
      </c>
      <c r="B277">
        <f>_xlfn.XLOOKUP(A277,Invoice_Data!A277,Invoice_Data!E277)</f>
        <v>14</v>
      </c>
      <c r="C277">
        <f>_xlfn.XLOOKUP(A277,Delivery_Order!B277,Delivery_Order!C277)</f>
        <v>14</v>
      </c>
      <c r="D277" t="str">
        <f t="shared" si="4"/>
        <v>MATCH</v>
      </c>
    </row>
    <row r="278" spans="1:4" x14ac:dyDescent="0.45">
      <c r="A278" t="s">
        <v>510</v>
      </c>
      <c r="B278">
        <f>_xlfn.XLOOKUP(A278,Invoice_Data!A278,Invoice_Data!E278)</f>
        <v>96</v>
      </c>
      <c r="C278">
        <f>_xlfn.XLOOKUP(A278,Delivery_Order!B278,Delivery_Order!C278)</f>
        <v>96</v>
      </c>
      <c r="D278" t="str">
        <f t="shared" si="4"/>
        <v>MATCH</v>
      </c>
    </row>
    <row r="279" spans="1:4" x14ac:dyDescent="0.45">
      <c r="A279" t="s">
        <v>511</v>
      </c>
      <c r="B279">
        <f>_xlfn.XLOOKUP(A279,Invoice_Data!A279,Invoice_Data!E279)</f>
        <v>78</v>
      </c>
      <c r="C279">
        <f>_xlfn.XLOOKUP(A279,Delivery_Order!B279,Delivery_Order!C279)</f>
        <v>78</v>
      </c>
      <c r="D279" t="str">
        <f t="shared" si="4"/>
        <v>MATCH</v>
      </c>
    </row>
    <row r="280" spans="1:4" x14ac:dyDescent="0.45">
      <c r="A280" t="s">
        <v>512</v>
      </c>
      <c r="B280">
        <f>_xlfn.XLOOKUP(A280,Invoice_Data!A280,Invoice_Data!E280)</f>
        <v>50</v>
      </c>
      <c r="C280">
        <f>_xlfn.XLOOKUP(A280,Delivery_Order!B280,Delivery_Order!C280)</f>
        <v>50</v>
      </c>
      <c r="D280" t="str">
        <f t="shared" si="4"/>
        <v>MATCH</v>
      </c>
    </row>
    <row r="281" spans="1:4" x14ac:dyDescent="0.45">
      <c r="A281" t="s">
        <v>514</v>
      </c>
      <c r="B281">
        <f>_xlfn.XLOOKUP(A281,Invoice_Data!A281,Invoice_Data!E281)</f>
        <v>58</v>
      </c>
      <c r="C281">
        <f>_xlfn.XLOOKUP(A281,Delivery_Order!B281,Delivery_Order!C281)</f>
        <v>58</v>
      </c>
      <c r="D281" t="str">
        <f t="shared" si="4"/>
        <v>MATCH</v>
      </c>
    </row>
    <row r="282" spans="1:4" x14ac:dyDescent="0.45">
      <c r="A282" t="s">
        <v>515</v>
      </c>
      <c r="B282">
        <f>_xlfn.XLOOKUP(A282,Invoice_Data!A282,Invoice_Data!E282)</f>
        <v>72</v>
      </c>
      <c r="C282">
        <f>_xlfn.XLOOKUP(A282,Delivery_Order!B282,Delivery_Order!C282)</f>
        <v>72</v>
      </c>
      <c r="D282" t="str">
        <f t="shared" si="4"/>
        <v>MATCH</v>
      </c>
    </row>
    <row r="283" spans="1:4" x14ac:dyDescent="0.45">
      <c r="A283" t="s">
        <v>516</v>
      </c>
      <c r="B283">
        <f>_xlfn.XLOOKUP(A283,Invoice_Data!A283,Invoice_Data!E283)</f>
        <v>89</v>
      </c>
      <c r="C283">
        <f>_xlfn.XLOOKUP(A283,Delivery_Order!B283,Delivery_Order!C283)</f>
        <v>88</v>
      </c>
      <c r="D283" t="str">
        <f t="shared" si="4"/>
        <v>MISSMATCH</v>
      </c>
    </row>
    <row r="284" spans="1:4" x14ac:dyDescent="0.45">
      <c r="A284" t="s">
        <v>517</v>
      </c>
      <c r="B284">
        <f>_xlfn.XLOOKUP(A284,Invoice_Data!A284,Invoice_Data!E284)</f>
        <v>71</v>
      </c>
      <c r="C284">
        <f>_xlfn.XLOOKUP(A284,Delivery_Order!B284,Delivery_Order!C284)</f>
        <v>71</v>
      </c>
      <c r="D284" t="str">
        <f t="shared" si="4"/>
        <v>MATCH</v>
      </c>
    </row>
    <row r="285" spans="1:4" x14ac:dyDescent="0.45">
      <c r="A285" t="s">
        <v>518</v>
      </c>
      <c r="B285">
        <f>_xlfn.XLOOKUP(A285,Invoice_Data!A285,Invoice_Data!E285)</f>
        <v>45</v>
      </c>
      <c r="C285">
        <f>_xlfn.XLOOKUP(A285,Delivery_Order!B285,Delivery_Order!C285)</f>
        <v>45</v>
      </c>
      <c r="D285" t="str">
        <f t="shared" si="4"/>
        <v>MATCH</v>
      </c>
    </row>
    <row r="286" spans="1:4" x14ac:dyDescent="0.45">
      <c r="A286" t="s">
        <v>520</v>
      </c>
      <c r="B286">
        <f>_xlfn.XLOOKUP(A286,Invoice_Data!A286,Invoice_Data!E286)</f>
        <v>50</v>
      </c>
      <c r="C286">
        <f>_xlfn.XLOOKUP(A286,Delivery_Order!B286,Delivery_Order!C286)</f>
        <v>50</v>
      </c>
      <c r="D286" t="str">
        <f t="shared" si="4"/>
        <v>MATCH</v>
      </c>
    </row>
    <row r="287" spans="1:4" x14ac:dyDescent="0.45">
      <c r="A287" t="s">
        <v>521</v>
      </c>
      <c r="B287">
        <f>_xlfn.XLOOKUP(A287,Invoice_Data!A287,Invoice_Data!E287)</f>
        <v>75</v>
      </c>
      <c r="C287">
        <f>_xlfn.XLOOKUP(A287,Delivery_Order!B287,Delivery_Order!C287)</f>
        <v>75</v>
      </c>
      <c r="D287" t="str">
        <f t="shared" si="4"/>
        <v>MATCH</v>
      </c>
    </row>
    <row r="288" spans="1:4" x14ac:dyDescent="0.45">
      <c r="A288" t="s">
        <v>523</v>
      </c>
      <c r="B288">
        <f>_xlfn.XLOOKUP(A288,Invoice_Data!A288,Invoice_Data!E288)</f>
        <v>50</v>
      </c>
      <c r="C288">
        <f>_xlfn.XLOOKUP(A288,Delivery_Order!B288,Delivery_Order!C288)</f>
        <v>50</v>
      </c>
      <c r="D288" t="str">
        <f t="shared" si="4"/>
        <v>MATCH</v>
      </c>
    </row>
    <row r="289" spans="1:4" x14ac:dyDescent="0.45">
      <c r="A289" t="s">
        <v>525</v>
      </c>
      <c r="B289">
        <f>_xlfn.XLOOKUP(A289,Invoice_Data!A289,Invoice_Data!E289)</f>
        <v>53</v>
      </c>
      <c r="C289">
        <f>_xlfn.XLOOKUP(A289,Delivery_Order!B289,Delivery_Order!C289)</f>
        <v>53</v>
      </c>
      <c r="D289" t="str">
        <f t="shared" si="4"/>
        <v>MATCH</v>
      </c>
    </row>
    <row r="290" spans="1:4" x14ac:dyDescent="0.45">
      <c r="A290" t="s">
        <v>527</v>
      </c>
      <c r="B290">
        <f>_xlfn.XLOOKUP(A290,Invoice_Data!A290,Invoice_Data!E290)</f>
        <v>98</v>
      </c>
      <c r="C290">
        <f>_xlfn.XLOOKUP(A290,Delivery_Order!B290,Delivery_Order!C290)</f>
        <v>98</v>
      </c>
      <c r="D290" t="str">
        <f t="shared" si="4"/>
        <v>MATCH</v>
      </c>
    </row>
    <row r="291" spans="1:4" x14ac:dyDescent="0.45">
      <c r="A291" t="s">
        <v>529</v>
      </c>
      <c r="B291">
        <f>_xlfn.XLOOKUP(A291,Invoice_Data!A291,Invoice_Data!E291)</f>
        <v>68</v>
      </c>
      <c r="C291">
        <f>_xlfn.XLOOKUP(A291,Delivery_Order!B291,Delivery_Order!C291)</f>
        <v>68</v>
      </c>
      <c r="D291" t="str">
        <f t="shared" si="4"/>
        <v>MATCH</v>
      </c>
    </row>
    <row r="292" spans="1:4" x14ac:dyDescent="0.45">
      <c r="A292" t="s">
        <v>530</v>
      </c>
      <c r="B292">
        <f>_xlfn.XLOOKUP(A292,Invoice_Data!A292,Invoice_Data!E292)</f>
        <v>42</v>
      </c>
      <c r="C292">
        <f>_xlfn.XLOOKUP(A292,Delivery_Order!B292,Delivery_Order!C292)</f>
        <v>42</v>
      </c>
      <c r="D292" t="str">
        <f t="shared" si="4"/>
        <v>MATCH</v>
      </c>
    </row>
    <row r="293" spans="1:4" x14ac:dyDescent="0.45">
      <c r="A293" t="s">
        <v>531</v>
      </c>
      <c r="B293">
        <f>_xlfn.XLOOKUP(A293,Invoice_Data!A293,Invoice_Data!E293)</f>
        <v>44</v>
      </c>
      <c r="C293">
        <f>_xlfn.XLOOKUP(A293,Delivery_Order!B293,Delivery_Order!C293)</f>
        <v>44</v>
      </c>
      <c r="D293" t="str">
        <f t="shared" si="4"/>
        <v>MATCH</v>
      </c>
    </row>
    <row r="294" spans="1:4" x14ac:dyDescent="0.45">
      <c r="A294" t="s">
        <v>532</v>
      </c>
      <c r="B294">
        <f>_xlfn.XLOOKUP(A294,Invoice_Data!A294,Invoice_Data!E294)</f>
        <v>69</v>
      </c>
      <c r="C294">
        <f>_xlfn.XLOOKUP(A294,Delivery_Order!B294,Delivery_Order!C294)</f>
        <v>69</v>
      </c>
      <c r="D294" t="str">
        <f t="shared" si="4"/>
        <v>MATCH</v>
      </c>
    </row>
    <row r="295" spans="1:4" x14ac:dyDescent="0.45">
      <c r="A295" t="s">
        <v>534</v>
      </c>
      <c r="B295">
        <f>_xlfn.XLOOKUP(A295,Invoice_Data!A295,Invoice_Data!E295)</f>
        <v>17</v>
      </c>
      <c r="C295">
        <f>_xlfn.XLOOKUP(A295,Delivery_Order!B295,Delivery_Order!C295)</f>
        <v>17</v>
      </c>
      <c r="D295" t="str">
        <f t="shared" si="4"/>
        <v>MATCH</v>
      </c>
    </row>
    <row r="296" spans="1:4" x14ac:dyDescent="0.45">
      <c r="A296" t="s">
        <v>536</v>
      </c>
      <c r="B296">
        <f>_xlfn.XLOOKUP(A296,Invoice_Data!A296,Invoice_Data!E296)</f>
        <v>45</v>
      </c>
      <c r="C296">
        <f>_xlfn.XLOOKUP(A296,Delivery_Order!B296,Delivery_Order!C296)</f>
        <v>45</v>
      </c>
      <c r="D296" t="str">
        <f t="shared" si="4"/>
        <v>MATCH</v>
      </c>
    </row>
    <row r="297" spans="1:4" x14ac:dyDescent="0.45">
      <c r="A297" t="s">
        <v>537</v>
      </c>
      <c r="B297">
        <f>_xlfn.XLOOKUP(A297,Invoice_Data!A297,Invoice_Data!E297)</f>
        <v>14</v>
      </c>
      <c r="C297">
        <f>_xlfn.XLOOKUP(A297,Delivery_Order!B297,Delivery_Order!C297)</f>
        <v>14</v>
      </c>
      <c r="D297" t="str">
        <f t="shared" si="4"/>
        <v>MATCH</v>
      </c>
    </row>
    <row r="298" spans="1:4" x14ac:dyDescent="0.45">
      <c r="A298" t="s">
        <v>538</v>
      </c>
      <c r="B298">
        <f>_xlfn.XLOOKUP(A298,Invoice_Data!A298,Invoice_Data!E298)</f>
        <v>5</v>
      </c>
      <c r="C298">
        <f>_xlfn.XLOOKUP(A298,Delivery_Order!B298,Delivery_Order!C298)</f>
        <v>5</v>
      </c>
      <c r="D298" t="str">
        <f t="shared" si="4"/>
        <v>MATCH</v>
      </c>
    </row>
    <row r="299" spans="1:4" x14ac:dyDescent="0.45">
      <c r="A299" t="s">
        <v>540</v>
      </c>
      <c r="B299">
        <f>_xlfn.XLOOKUP(A299,Invoice_Data!A299,Invoice_Data!E299)</f>
        <v>92</v>
      </c>
      <c r="C299">
        <f>_xlfn.XLOOKUP(A299,Delivery_Order!B299,Delivery_Order!C299)</f>
        <v>92</v>
      </c>
      <c r="D299" t="str">
        <f t="shared" si="4"/>
        <v>MATCH</v>
      </c>
    </row>
    <row r="300" spans="1:4" x14ac:dyDescent="0.45">
      <c r="A300" t="s">
        <v>542</v>
      </c>
      <c r="B300">
        <f>_xlfn.XLOOKUP(A300,Invoice_Data!A300,Invoice_Data!E300)</f>
        <v>20</v>
      </c>
      <c r="C300">
        <f>_xlfn.XLOOKUP(A300,Delivery_Order!B300,Delivery_Order!C300)</f>
        <v>20</v>
      </c>
      <c r="D300" t="str">
        <f t="shared" si="4"/>
        <v>MATCH</v>
      </c>
    </row>
    <row r="301" spans="1:4" x14ac:dyDescent="0.45">
      <c r="A301" t="s">
        <v>544</v>
      </c>
      <c r="B301">
        <f>_xlfn.XLOOKUP(A301,Invoice_Data!A301,Invoice_Data!E301)</f>
        <v>57</v>
      </c>
      <c r="C301">
        <f>_xlfn.XLOOKUP(A301,Delivery_Order!B301,Delivery_Order!C301)</f>
        <v>57</v>
      </c>
      <c r="D301" t="str">
        <f t="shared" si="4"/>
        <v>MATCH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2B41-01D8-45B4-A7F5-F7C4AE0BCAF6}">
  <dimension ref="A1:F4"/>
  <sheetViews>
    <sheetView workbookViewId="0">
      <selection activeCell="A3" sqref="A3:F4"/>
    </sheetView>
  </sheetViews>
  <sheetFormatPr defaultRowHeight="14.25" x14ac:dyDescent="0.45"/>
  <cols>
    <col min="1" max="1" width="11.1328125" bestFit="1" customWidth="1"/>
    <col min="2" max="2" width="12.53125" bestFit="1" customWidth="1"/>
    <col min="3" max="3" width="12.59765625" bestFit="1" customWidth="1"/>
    <col min="4" max="4" width="9.33203125" bestFit="1" customWidth="1"/>
    <col min="5" max="5" width="10.33203125" bestFit="1" customWidth="1"/>
    <col min="6" max="6" width="14.59765625" bestFit="1" customWidth="1"/>
  </cols>
  <sheetData>
    <row r="1" spans="1:6" x14ac:dyDescent="0.45">
      <c r="A1" s="9" t="s">
        <v>873</v>
      </c>
    </row>
    <row r="3" spans="1:6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45">
      <c r="A4" t="s">
        <v>12</v>
      </c>
      <c r="B4" t="s">
        <v>13</v>
      </c>
      <c r="C4" t="s">
        <v>14</v>
      </c>
      <c r="D4">
        <v>90</v>
      </c>
      <c r="E4">
        <v>150000</v>
      </c>
      <c r="F4">
        <v>13500000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FEB8-CBAD-49F6-A716-5C80DAD92638}">
  <dimension ref="A1:I28"/>
  <sheetViews>
    <sheetView topLeftCell="D1" zoomScale="155" workbookViewId="0">
      <selection activeCell="F2" sqref="F2"/>
    </sheetView>
  </sheetViews>
  <sheetFormatPr defaultRowHeight="14.25" x14ac:dyDescent="0.45"/>
  <cols>
    <col min="1" max="1" width="12.06640625" bestFit="1" customWidth="1"/>
    <col min="2" max="2" width="18" bestFit="1" customWidth="1"/>
    <col min="5" max="5" width="12.06640625" bestFit="1" customWidth="1"/>
    <col min="6" max="6" width="18.73046875" bestFit="1" customWidth="1"/>
    <col min="8" max="8" width="13.33203125" bestFit="1" customWidth="1"/>
    <col min="9" max="9" width="18.73046875" bestFit="1" customWidth="1"/>
  </cols>
  <sheetData>
    <row r="1" spans="1:9" x14ac:dyDescent="0.45">
      <c r="E1" s="2" t="s">
        <v>849</v>
      </c>
      <c r="F1" t="s">
        <v>854</v>
      </c>
    </row>
    <row r="2" spans="1:9" x14ac:dyDescent="0.45">
      <c r="E2" s="3" t="s">
        <v>6</v>
      </c>
      <c r="F2" s="4">
        <v>20000000</v>
      </c>
    </row>
    <row r="3" spans="1:9" x14ac:dyDescent="0.45">
      <c r="A3" s="2" t="s">
        <v>849</v>
      </c>
      <c r="B3" t="s">
        <v>853</v>
      </c>
      <c r="E3" s="3" t="s">
        <v>82</v>
      </c>
      <c r="F3" s="4">
        <v>18600000</v>
      </c>
      <c r="H3" s="2" t="s">
        <v>849</v>
      </c>
      <c r="I3" t="s">
        <v>854</v>
      </c>
    </row>
    <row r="4" spans="1:9" x14ac:dyDescent="0.45">
      <c r="A4" s="3" t="s">
        <v>851</v>
      </c>
      <c r="B4" s="4">
        <v>282</v>
      </c>
      <c r="E4" s="3" t="s">
        <v>159</v>
      </c>
      <c r="F4" s="4">
        <v>18800000</v>
      </c>
      <c r="H4" s="3" t="s">
        <v>856</v>
      </c>
      <c r="I4" s="4">
        <v>181475000</v>
      </c>
    </row>
    <row r="5" spans="1:9" x14ac:dyDescent="0.45">
      <c r="A5" s="3" t="s">
        <v>852</v>
      </c>
      <c r="B5" s="4">
        <v>18</v>
      </c>
      <c r="E5" s="3" t="s">
        <v>364</v>
      </c>
      <c r="F5" s="4">
        <v>18800000</v>
      </c>
      <c r="H5" s="3" t="s">
        <v>857</v>
      </c>
      <c r="I5" s="4">
        <v>172075000</v>
      </c>
    </row>
    <row r="6" spans="1:9" x14ac:dyDescent="0.45">
      <c r="A6" s="3" t="s">
        <v>850</v>
      </c>
      <c r="B6" s="4">
        <v>300</v>
      </c>
      <c r="E6" s="3" t="s">
        <v>480</v>
      </c>
      <c r="F6" s="4">
        <v>18800000</v>
      </c>
      <c r="H6" s="3" t="s">
        <v>858</v>
      </c>
      <c r="I6" s="4">
        <v>216350000</v>
      </c>
    </row>
    <row r="7" spans="1:9" x14ac:dyDescent="0.45">
      <c r="E7" s="3" t="s">
        <v>497</v>
      </c>
      <c r="F7" s="4">
        <v>18600000</v>
      </c>
      <c r="H7" s="3" t="s">
        <v>859</v>
      </c>
      <c r="I7" s="4">
        <v>116875000</v>
      </c>
    </row>
    <row r="8" spans="1:9" x14ac:dyDescent="0.45">
      <c r="E8" s="3" t="s">
        <v>850</v>
      </c>
      <c r="F8" s="4">
        <v>113600000</v>
      </c>
      <c r="H8" s="3" t="s">
        <v>860</v>
      </c>
      <c r="I8" s="4">
        <v>136075000</v>
      </c>
    </row>
    <row r="9" spans="1:9" x14ac:dyDescent="0.45">
      <c r="A9" s="3" t="s">
        <v>868</v>
      </c>
      <c r="B9">
        <f>COUNTA(Invoice_Data!A:A)-1</f>
        <v>300</v>
      </c>
      <c r="H9" s="3" t="s">
        <v>861</v>
      </c>
      <c r="I9" s="4">
        <v>116025000</v>
      </c>
    </row>
    <row r="10" spans="1:9" x14ac:dyDescent="0.45">
      <c r="H10" s="3" t="s">
        <v>862</v>
      </c>
      <c r="I10" s="4">
        <v>204700000</v>
      </c>
    </row>
    <row r="11" spans="1:9" x14ac:dyDescent="0.45">
      <c r="A11" t="s">
        <v>869</v>
      </c>
      <c r="B11" s="8">
        <f>SUM(Invoice_Data!G:G)</f>
        <v>1875075000</v>
      </c>
      <c r="H11" s="3" t="s">
        <v>863</v>
      </c>
      <c r="I11" s="4">
        <v>157500000</v>
      </c>
    </row>
    <row r="12" spans="1:9" x14ac:dyDescent="0.45">
      <c r="H12" s="3" t="s">
        <v>864</v>
      </c>
      <c r="I12" s="4">
        <v>147425000</v>
      </c>
    </row>
    <row r="13" spans="1:9" x14ac:dyDescent="0.45">
      <c r="A13" t="s">
        <v>870</v>
      </c>
      <c r="B13">
        <f>COUNTIF(Verification!D:D,"MISSMATCH")</f>
        <v>18</v>
      </c>
      <c r="H13" s="3" t="s">
        <v>865</v>
      </c>
      <c r="I13" s="4">
        <v>159175000</v>
      </c>
    </row>
    <row r="14" spans="1:9" x14ac:dyDescent="0.45">
      <c r="H14" s="3" t="s">
        <v>866</v>
      </c>
      <c r="I14" s="4">
        <v>146700000</v>
      </c>
    </row>
    <row r="15" spans="1:9" x14ac:dyDescent="0.45">
      <c r="A15" t="s">
        <v>872</v>
      </c>
      <c r="B15" s="7">
        <f>COUNTIF(Verification!D:D,"MATCH")/(COUNTA(Verification!D:D)-1)</f>
        <v>0.94</v>
      </c>
      <c r="H15" s="3" t="s">
        <v>867</v>
      </c>
      <c r="I15" s="4">
        <v>120700000</v>
      </c>
    </row>
    <row r="16" spans="1:9" x14ac:dyDescent="0.45">
      <c r="H16" s="3" t="s">
        <v>850</v>
      </c>
      <c r="I16" s="4">
        <v>1875075000</v>
      </c>
    </row>
    <row r="20" spans="8:8" x14ac:dyDescent="0.45">
      <c r="H20" t="s">
        <v>853</v>
      </c>
    </row>
    <row r="21" spans="8:8" x14ac:dyDescent="0.45">
      <c r="H21" s="4">
        <v>300</v>
      </c>
    </row>
    <row r="24" spans="8:8" x14ac:dyDescent="0.45">
      <c r="H24" t="s">
        <v>854</v>
      </c>
    </row>
    <row r="25" spans="8:8" x14ac:dyDescent="0.45">
      <c r="H25" s="4">
        <v>1875075000</v>
      </c>
    </row>
    <row r="27" spans="8:8" x14ac:dyDescent="0.45">
      <c r="H27" t="s">
        <v>871</v>
      </c>
    </row>
    <row r="28" spans="8:8" x14ac:dyDescent="0.45">
      <c r="H28" s="4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9E34-A86C-4727-8909-7F08441C8311}">
  <dimension ref="A1"/>
  <sheetViews>
    <sheetView showGridLines="0" tabSelected="1" zoomScale="73" zoomScaleNormal="49" workbookViewId="0">
      <selection activeCell="T23" sqref="T23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Invoice_Data</vt:lpstr>
      <vt:lpstr>Delivery_Order</vt:lpstr>
      <vt:lpstr>Verification</vt:lpstr>
      <vt:lpstr>Detail1</vt:lpstr>
      <vt:lpstr>Pivot Status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Sabillah Nur Fitriyanah</cp:lastModifiedBy>
  <dcterms:created xsi:type="dcterms:W3CDTF">2026-06-02T03:27:03Z</dcterms:created>
  <dcterms:modified xsi:type="dcterms:W3CDTF">2026-06-02T05:23:23Z</dcterms:modified>
</cp:coreProperties>
</file>